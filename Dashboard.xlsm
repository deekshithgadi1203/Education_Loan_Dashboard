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20" codeName="{65C56A31-55D7-CBBD-CD37-7C71EA340FA4}"/>
  <workbookPr codeName="ThisWorkbook"/>
  <mc:AlternateContent xmlns:mc="http://schemas.openxmlformats.org/markup-compatibility/2006">
    <mc:Choice Requires="x15">
      <x15ac:absPath xmlns:x15ac="http://schemas.microsoft.com/office/spreadsheetml/2010/11/ac" url="/Users/deekshithgadi/Downloads/"/>
    </mc:Choice>
  </mc:AlternateContent>
  <xr:revisionPtr revIDLastSave="0" documentId="13_ncr:1_{3D1B804C-3FE3-1945-967C-57EB28F36F9F}" xr6:coauthVersionLast="47" xr6:coauthVersionMax="47" xr10:uidLastSave="{00000000-0000-0000-0000-000000000000}"/>
  <bookViews>
    <workbookView xWindow="0" yWindow="500" windowWidth="28800" windowHeight="15800" activeTab="4" xr2:uid="{427B0B9A-58CA-144B-9640-47AFAEA94B9A}"/>
    <workbookView xWindow="0" yWindow="0" windowWidth="28800" windowHeight="18000" activeTab="2" xr2:uid="{00D7E9A1-C546-EB45-845E-B72FE68AE956}"/>
  </bookViews>
  <sheets>
    <sheet name="15Lakhs_Loan" sheetId="1" r:id="rId1"/>
    <sheet name="20Lakhs_Loan" sheetId="2" r:id="rId2"/>
    <sheet name="Combine_35Lakhs" sheetId="3" r:id="rId3"/>
    <sheet name="Pivot" sheetId="5" r:id="rId4"/>
    <sheet name="Dashboard" sheetId="4" r:id="rId5"/>
  </sheets>
  <definedNames>
    <definedName name="Slicer_Month">#N/A</definedName>
    <definedName name="Slicer_Year">#N/A</definedName>
    <definedName name="Slicer_Year1">#N/A</definedName>
  </definedNames>
  <calcPr calcId="191029"/>
  <pivotCaches>
    <pivotCache cacheId="77"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2" i="3" l="1"/>
  <c r="P38" i="3"/>
  <c r="P37" i="3"/>
  <c r="P36" i="3"/>
  <c r="P35" i="3"/>
  <c r="Q35" i="3" s="1"/>
  <c r="P34" i="3"/>
  <c r="Q34" i="3" s="1"/>
  <c r="P33" i="3"/>
  <c r="Q33" i="3" s="1"/>
  <c r="P32" i="3"/>
  <c r="Q32" i="3" s="1"/>
  <c r="P31" i="3"/>
  <c r="Q31" i="3" s="1"/>
  <c r="P30" i="3"/>
  <c r="P29" i="3"/>
  <c r="P28" i="3"/>
  <c r="P27" i="3"/>
  <c r="Q27" i="3" s="1"/>
  <c r="P26" i="3"/>
  <c r="Q26" i="3" s="1"/>
  <c r="P25" i="3"/>
  <c r="Q25" i="3" s="1"/>
  <c r="P24" i="3"/>
  <c r="Q24" i="3" s="1"/>
  <c r="P23" i="3"/>
  <c r="Q23" i="3" s="1"/>
  <c r="P22" i="3"/>
  <c r="P21" i="3"/>
  <c r="P20" i="3"/>
  <c r="P19" i="3"/>
  <c r="Q19" i="3" s="1"/>
  <c r="P18" i="3"/>
  <c r="Q18" i="3" s="1"/>
  <c r="P17" i="3"/>
  <c r="Q17" i="3" s="1"/>
  <c r="P16" i="3"/>
  <c r="Q16" i="3" s="1"/>
  <c r="P15" i="3"/>
  <c r="Q15" i="3" s="1"/>
  <c r="P14" i="3"/>
  <c r="P13" i="3"/>
  <c r="P12" i="3"/>
  <c r="P11" i="3"/>
  <c r="Q11" i="3" s="1"/>
  <c r="P10" i="3"/>
  <c r="P9" i="3"/>
  <c r="Q9" i="3" s="1"/>
  <c r="P8" i="3"/>
  <c r="Q8" i="3" s="1"/>
  <c r="P7" i="3"/>
  <c r="Q7" i="3" s="1"/>
  <c r="P6" i="3"/>
  <c r="Q6" i="3" s="1"/>
  <c r="P5" i="3"/>
  <c r="P4" i="3"/>
  <c r="P3" i="3"/>
  <c r="Q3" i="3" s="1"/>
  <c r="O2" i="3"/>
  <c r="O3" i="3"/>
  <c r="O4" i="3"/>
  <c r="O5" i="3"/>
  <c r="O6" i="3"/>
  <c r="O7" i="3"/>
  <c r="O8" i="3"/>
  <c r="O9" i="3"/>
  <c r="O10" i="3"/>
  <c r="O11" i="3"/>
  <c r="O12" i="3"/>
  <c r="O13" i="3"/>
  <c r="O14" i="3"/>
  <c r="O15" i="3"/>
  <c r="O16" i="3"/>
  <c r="O17" i="3"/>
  <c r="O18" i="3"/>
  <c r="O19" i="3"/>
  <c r="O20" i="3"/>
  <c r="O21" i="3"/>
  <c r="O22" i="3"/>
  <c r="O23" i="3"/>
  <c r="O24" i="3"/>
  <c r="O25" i="3"/>
  <c r="O26" i="3"/>
  <c r="O27" i="3"/>
  <c r="O28" i="3"/>
  <c r="O29" i="3"/>
  <c r="O30" i="3"/>
  <c r="O31" i="3"/>
  <c r="O32" i="3"/>
  <c r="O33" i="3"/>
  <c r="O34" i="3"/>
  <c r="O35" i="3"/>
  <c r="O36" i="3"/>
  <c r="O37" i="3"/>
  <c r="O38" i="3"/>
  <c r="C2" i="3"/>
  <c r="D2" i="3" s="1"/>
  <c r="L2" i="3"/>
  <c r="M2" i="3"/>
  <c r="C3" i="3"/>
  <c r="D3" i="3" s="1"/>
  <c r="L3" i="3"/>
  <c r="M3" i="3"/>
  <c r="C4" i="3"/>
  <c r="D4" i="3" s="1"/>
  <c r="L4" i="3"/>
  <c r="M4" i="3"/>
  <c r="C5" i="3"/>
  <c r="D5" i="3" s="1"/>
  <c r="L5" i="3"/>
  <c r="M5" i="3"/>
  <c r="C6" i="3"/>
  <c r="D6" i="3" s="1"/>
  <c r="L6" i="3"/>
  <c r="M6" i="3"/>
  <c r="C7" i="3"/>
  <c r="D7" i="3" s="1"/>
  <c r="L7" i="3"/>
  <c r="M7" i="3"/>
  <c r="C8" i="3"/>
  <c r="D8" i="3" s="1"/>
  <c r="L8" i="3"/>
  <c r="M8" i="3"/>
  <c r="C9" i="3"/>
  <c r="D9" i="3" s="1"/>
  <c r="L9" i="3"/>
  <c r="M9" i="3"/>
  <c r="C10" i="3"/>
  <c r="D10" i="3" s="1"/>
  <c r="L10" i="3"/>
  <c r="M10" i="3"/>
  <c r="C11" i="3"/>
  <c r="E11" i="3" s="1"/>
  <c r="L11" i="3"/>
  <c r="M11" i="3"/>
  <c r="C12" i="3"/>
  <c r="E12" i="3" s="1"/>
  <c r="L12" i="3"/>
  <c r="M12" i="3"/>
  <c r="C13" i="3"/>
  <c r="E13" i="3" s="1"/>
  <c r="L13" i="3"/>
  <c r="M13" i="3"/>
  <c r="C14" i="3"/>
  <c r="D14" i="3" s="1"/>
  <c r="L14" i="3"/>
  <c r="M14" i="3"/>
  <c r="C15" i="3"/>
  <c r="D15" i="3" s="1"/>
  <c r="F15" i="3"/>
  <c r="M15" i="3" s="1"/>
  <c r="G15" i="3"/>
  <c r="H15" i="3"/>
  <c r="I15" i="3"/>
  <c r="J15" i="3"/>
  <c r="L15" i="3"/>
  <c r="C16" i="3"/>
  <c r="D16" i="3" s="1"/>
  <c r="F16" i="3"/>
  <c r="G16" i="3"/>
  <c r="H16" i="3"/>
  <c r="I16" i="3"/>
  <c r="J16" i="3"/>
  <c r="C17" i="3"/>
  <c r="D17" i="3" s="1"/>
  <c r="F17" i="3"/>
  <c r="G17" i="3"/>
  <c r="H17" i="3"/>
  <c r="I17" i="3"/>
  <c r="J17" i="3"/>
  <c r="C18" i="3"/>
  <c r="D18" i="3" s="1"/>
  <c r="F18" i="3"/>
  <c r="G18" i="3"/>
  <c r="L23" i="3" s="1"/>
  <c r="H18" i="3"/>
  <c r="I18" i="3"/>
  <c r="J18" i="3"/>
  <c r="C19" i="3"/>
  <c r="D19" i="3" s="1"/>
  <c r="F19" i="3"/>
  <c r="G19" i="3"/>
  <c r="H19" i="3"/>
  <c r="I19" i="3"/>
  <c r="J19" i="3"/>
  <c r="C20" i="3"/>
  <c r="D20" i="3" s="1"/>
  <c r="F20" i="3"/>
  <c r="G20" i="3"/>
  <c r="H20" i="3"/>
  <c r="I20" i="3"/>
  <c r="J20" i="3"/>
  <c r="C21" i="3"/>
  <c r="D21" i="3" s="1"/>
  <c r="F21" i="3"/>
  <c r="G21" i="3"/>
  <c r="H21" i="3"/>
  <c r="I21" i="3"/>
  <c r="J21" i="3"/>
  <c r="C22" i="3"/>
  <c r="D22" i="3" s="1"/>
  <c r="F22" i="3"/>
  <c r="G22" i="3"/>
  <c r="H22" i="3"/>
  <c r="I22" i="3"/>
  <c r="J22" i="3"/>
  <c r="C23" i="3"/>
  <c r="D23" i="3" s="1"/>
  <c r="F23" i="3"/>
  <c r="G23" i="3"/>
  <c r="H23" i="3"/>
  <c r="I23" i="3"/>
  <c r="J23" i="3"/>
  <c r="C24" i="3"/>
  <c r="D24" i="3" s="1"/>
  <c r="F24" i="3"/>
  <c r="G24" i="3"/>
  <c r="H24" i="3"/>
  <c r="I24" i="3"/>
  <c r="J24" i="3"/>
  <c r="C25" i="3"/>
  <c r="D25" i="3" s="1"/>
  <c r="F25" i="3"/>
  <c r="G25" i="3"/>
  <c r="H25" i="3"/>
  <c r="I25" i="3"/>
  <c r="J25" i="3"/>
  <c r="C26" i="3"/>
  <c r="D26" i="3" s="1"/>
  <c r="F26" i="3"/>
  <c r="G26" i="3"/>
  <c r="H26" i="3"/>
  <c r="I26" i="3"/>
  <c r="J26" i="3"/>
  <c r="C27" i="3"/>
  <c r="D27" i="3" s="1"/>
  <c r="F27" i="3"/>
  <c r="G27" i="3"/>
  <c r="H27" i="3"/>
  <c r="I27" i="3"/>
  <c r="J27" i="3"/>
  <c r="C28" i="3"/>
  <c r="D28" i="3" s="1"/>
  <c r="F28" i="3"/>
  <c r="G28" i="3"/>
  <c r="H28" i="3"/>
  <c r="I28" i="3"/>
  <c r="J28" i="3"/>
  <c r="C29" i="3"/>
  <c r="D29" i="3" s="1"/>
  <c r="F29" i="3"/>
  <c r="G29" i="3"/>
  <c r="H29" i="3"/>
  <c r="I29" i="3"/>
  <c r="J29" i="3"/>
  <c r="C30" i="3"/>
  <c r="E30" i="3" s="1"/>
  <c r="F30" i="3"/>
  <c r="G30" i="3"/>
  <c r="H30" i="3"/>
  <c r="I30" i="3"/>
  <c r="J30" i="3"/>
  <c r="C31" i="3"/>
  <c r="E31" i="3" s="1"/>
  <c r="F31" i="3"/>
  <c r="G31" i="3"/>
  <c r="H31" i="3"/>
  <c r="I31" i="3"/>
  <c r="J31" i="3"/>
  <c r="C32" i="3"/>
  <c r="D32" i="3" s="1"/>
  <c r="F32" i="3"/>
  <c r="G32" i="3"/>
  <c r="H32" i="3"/>
  <c r="I32" i="3"/>
  <c r="J32" i="3"/>
  <c r="C33" i="3"/>
  <c r="E33" i="3" s="1"/>
  <c r="F33" i="3"/>
  <c r="G33" i="3"/>
  <c r="H33" i="3"/>
  <c r="I33" i="3"/>
  <c r="J33" i="3"/>
  <c r="C34" i="3"/>
  <c r="D34" i="3" s="1"/>
  <c r="F34" i="3"/>
  <c r="G34" i="3"/>
  <c r="H34" i="3"/>
  <c r="I34" i="3"/>
  <c r="J34" i="3"/>
  <c r="C35" i="3"/>
  <c r="E35" i="3" s="1"/>
  <c r="F35" i="3"/>
  <c r="G35" i="3"/>
  <c r="H35" i="3"/>
  <c r="I35" i="3"/>
  <c r="J35" i="3"/>
  <c r="C36" i="3"/>
  <c r="D36" i="3" s="1"/>
  <c r="F36" i="3"/>
  <c r="G36" i="3"/>
  <c r="H36" i="3"/>
  <c r="I36" i="3"/>
  <c r="J36" i="3"/>
  <c r="C37" i="3"/>
  <c r="D37" i="3" s="1"/>
  <c r="F37" i="3"/>
  <c r="G37" i="3"/>
  <c r="H37" i="3"/>
  <c r="I37" i="3"/>
  <c r="J37" i="3"/>
  <c r="C38" i="3"/>
  <c r="D38" i="3" s="1"/>
  <c r="F38" i="3"/>
  <c r="G38" i="3"/>
  <c r="H38" i="3"/>
  <c r="I38" i="3"/>
  <c r="J38" i="3"/>
  <c r="L17" i="3" l="1"/>
  <c r="L25" i="3"/>
  <c r="R2" i="3"/>
  <c r="R18" i="3"/>
  <c r="Q38" i="3"/>
  <c r="R38" i="3" s="1"/>
  <c r="Q30" i="3"/>
  <c r="R30" i="3" s="1"/>
  <c r="Q22" i="3"/>
  <c r="R22" i="3" s="1"/>
  <c r="Q14" i="3"/>
  <c r="R14" i="3" s="1"/>
  <c r="Q37" i="3"/>
  <c r="R37" i="3" s="1"/>
  <c r="Q29" i="3"/>
  <c r="R29" i="3" s="1"/>
  <c r="Q21" i="3"/>
  <c r="R21" i="3" s="1"/>
  <c r="Q13" i="3"/>
  <c r="R13" i="3" s="1"/>
  <c r="Q5" i="3"/>
  <c r="R5" i="3" s="1"/>
  <c r="Q36" i="3"/>
  <c r="R36" i="3" s="1"/>
  <c r="Q28" i="3"/>
  <c r="R28" i="3" s="1"/>
  <c r="Q20" i="3"/>
  <c r="R20" i="3" s="1"/>
  <c r="Q12" i="3"/>
  <c r="R12" i="3" s="1"/>
  <c r="Q4" i="3"/>
  <c r="R4" i="3" s="1"/>
  <c r="R26" i="3"/>
  <c r="R34" i="3"/>
  <c r="Q10" i="3"/>
  <c r="R10" i="3" s="1"/>
  <c r="R6" i="3"/>
  <c r="R15" i="3"/>
  <c r="R23" i="3"/>
  <c r="R8" i="3"/>
  <c r="R16" i="3"/>
  <c r="R24" i="3"/>
  <c r="R32" i="3"/>
  <c r="R9" i="3"/>
  <c r="R17" i="3"/>
  <c r="R25" i="3"/>
  <c r="R33" i="3"/>
  <c r="R7" i="3"/>
  <c r="R31" i="3"/>
  <c r="R3" i="3"/>
  <c r="R11" i="3"/>
  <c r="R19" i="3"/>
  <c r="R27" i="3"/>
  <c r="R35" i="3"/>
  <c r="D31" i="3"/>
  <c r="D12" i="3"/>
  <c r="D35" i="3"/>
  <c r="D13" i="3"/>
  <c r="D11" i="3"/>
  <c r="D30" i="3"/>
  <c r="E32" i="3"/>
  <c r="E24" i="3"/>
  <c r="E16" i="3"/>
  <c r="E8" i="3"/>
  <c r="E23" i="3"/>
  <c r="E15" i="3"/>
  <c r="E7" i="3"/>
  <c r="E38" i="3"/>
  <c r="E22" i="3"/>
  <c r="E14" i="3"/>
  <c r="E6" i="3"/>
  <c r="E37" i="3"/>
  <c r="E29" i="3"/>
  <c r="E21" i="3"/>
  <c r="E5" i="3"/>
  <c r="D33" i="3"/>
  <c r="E36" i="3"/>
  <c r="E28" i="3"/>
  <c r="E20" i="3"/>
  <c r="E4" i="3"/>
  <c r="E27" i="3"/>
  <c r="E19" i="3"/>
  <c r="E3" i="3"/>
  <c r="E34" i="3"/>
  <c r="E26" i="3"/>
  <c r="E18" i="3"/>
  <c r="E10" i="3"/>
  <c r="E2" i="3"/>
  <c r="E25" i="3"/>
  <c r="E17" i="3"/>
  <c r="E9" i="3"/>
  <c r="L31" i="3"/>
  <c r="M28" i="3"/>
  <c r="L38" i="3"/>
  <c r="M35" i="3"/>
  <c r="L30" i="3"/>
  <c r="M27" i="3"/>
  <c r="M19" i="3"/>
  <c r="M23" i="3"/>
  <c r="L33" i="3"/>
  <c r="M22" i="3"/>
  <c r="M38" i="3"/>
  <c r="M36" i="3"/>
  <c r="M30" i="3"/>
  <c r="L18" i="3"/>
  <c r="M20" i="3"/>
  <c r="L36" i="3"/>
  <c r="M33" i="3"/>
  <c r="L28" i="3"/>
  <c r="M25" i="3"/>
  <c r="L20" i="3"/>
  <c r="M17" i="3"/>
  <c r="L22" i="3"/>
  <c r="L27" i="3"/>
  <c r="M37" i="3"/>
  <c r="L32" i="3"/>
  <c r="M29" i="3"/>
  <c r="L24" i="3"/>
  <c r="M21" i="3"/>
  <c r="L16" i="3"/>
  <c r="L35" i="3"/>
  <c r="L37" i="3"/>
  <c r="M34" i="3"/>
  <c r="L29" i="3"/>
  <c r="M26" i="3"/>
  <c r="L21" i="3"/>
  <c r="M18" i="3"/>
  <c r="M32" i="3"/>
  <c r="M24" i="3"/>
  <c r="L19" i="3"/>
  <c r="M16" i="3"/>
  <c r="L34" i="3"/>
  <c r="M31" i="3"/>
  <c r="L26" i="3"/>
</calcChain>
</file>

<file path=xl/sharedStrings.xml><?xml version="1.0" encoding="utf-8"?>
<sst xmlns="http://schemas.openxmlformats.org/spreadsheetml/2006/main" count="103" uniqueCount="52">
  <si>
    <t>Sr.No.</t>
  </si>
  <si>
    <t>Due Date</t>
  </si>
  <si>
    <t>Payment Due</t>
  </si>
  <si>
    <t>Interest</t>
  </si>
  <si>
    <t>Principal</t>
  </si>
  <si>
    <t>Interest Accrued</t>
  </si>
  <si>
    <t>Total Outstanding</t>
  </si>
  <si>
    <t>Cumulative Interest Paid</t>
  </si>
  <si>
    <t>Total Interest need to paid</t>
  </si>
  <si>
    <t>Principal Paid</t>
  </si>
  <si>
    <t>Row Labels</t>
  </si>
  <si>
    <t>Grand Total</t>
  </si>
  <si>
    <t>Sum of Total Outstanding</t>
  </si>
  <si>
    <t>Date in (MM/DD/YY)</t>
  </si>
  <si>
    <t>Sum of Total Interest need to paid</t>
  </si>
  <si>
    <t>Month</t>
  </si>
  <si>
    <t>Year</t>
  </si>
  <si>
    <t xml:space="preserve">Principal </t>
  </si>
  <si>
    <t xml:space="preserve">Total Principal </t>
  </si>
  <si>
    <t>Sum of Interest Accrued</t>
  </si>
  <si>
    <t>Sum of Cumulative Interest Paid</t>
  </si>
  <si>
    <t>APR</t>
  </si>
  <si>
    <t>Monthly intrest rate</t>
  </si>
  <si>
    <t>Slider</t>
  </si>
  <si>
    <t>how many months it takes to repay</t>
  </si>
  <si>
    <t>Sum of how many months it takes to repay</t>
  </si>
  <si>
    <t>Column Labels</t>
  </si>
  <si>
    <t>Values</t>
  </si>
  <si>
    <t>Principal Amount</t>
  </si>
  <si>
    <t>Interest Raised</t>
  </si>
  <si>
    <t>January</t>
  </si>
  <si>
    <t>Automatic Interest Deducation</t>
  </si>
  <si>
    <t>Remaining Interest</t>
  </si>
  <si>
    <t>Sum of Interest</t>
  </si>
  <si>
    <t>December</t>
  </si>
  <si>
    <t>February</t>
  </si>
  <si>
    <t>March</t>
  </si>
  <si>
    <t>April</t>
  </si>
  <si>
    <t>May</t>
  </si>
  <si>
    <t>June</t>
  </si>
  <si>
    <t>July</t>
  </si>
  <si>
    <t>August</t>
  </si>
  <si>
    <t>September</t>
  </si>
  <si>
    <t>October</t>
  </si>
  <si>
    <t>November</t>
  </si>
  <si>
    <t>loan disber</t>
  </si>
  <si>
    <t xml:space="preserve"> </t>
  </si>
  <si>
    <t>Sum of loan disber</t>
  </si>
  <si>
    <t>payment</t>
  </si>
  <si>
    <t>Sum of payment</t>
  </si>
  <si>
    <t>Max of Total Outstanding</t>
  </si>
  <si>
    <t>2024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</si>
</sst>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4009]\ #,##0.00"/>
    <numFmt numFmtId="165" formatCode="[$₹-4009]\ #,##0"/>
    <numFmt numFmtId="166" formatCode="0.0%"/>
    <numFmt numFmtId="167" formatCode="&quot;$&quot;#,##0.00"/>
  </numFmts>
  <fonts count="3" x14ac:knownFonts="1">
    <font>
      <sz val="12"/>
      <color theme="1"/>
      <name val="Candara"/>
      <family val="2"/>
      <scheme val="minor"/>
    </font>
    <font>
      <b/>
      <sz val="12"/>
      <color theme="0"/>
      <name val="Tahoma"/>
      <family val="2"/>
    </font>
    <font>
      <sz val="11"/>
      <color theme="1"/>
      <name val="Tahoma"/>
      <family val="2"/>
    </font>
  </fonts>
  <fills count="4">
    <fill>
      <patternFill patternType="none"/>
    </fill>
    <fill>
      <patternFill patternType="gray125"/>
    </fill>
    <fill>
      <patternFill patternType="solid">
        <fgColor theme="5"/>
        <bgColor theme="5"/>
      </patternFill>
    </fill>
    <fill>
      <patternFill patternType="solid">
        <fgColor theme="5" tint="0.79998168889431442"/>
        <bgColor theme="5" tint="0.79998168889431442"/>
      </patternFill>
    </fill>
  </fills>
  <borders count="6">
    <border>
      <left/>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6">
    <xf numFmtId="0" fontId="0" fillId="0" borderId="0" xfId="0"/>
    <xf numFmtId="0" fontId="1" fillId="2" borderId="0" xfId="0" applyFont="1" applyFill="1" applyAlignment="1">
      <alignment horizontal="left" vertical="center"/>
    </xf>
    <xf numFmtId="14" fontId="1" fillId="2" borderId="1" xfId="0" applyNumberFormat="1" applyFont="1" applyFill="1" applyBorder="1" applyAlignment="1">
      <alignment horizontal="left" vertical="center"/>
    </xf>
    <xf numFmtId="164" fontId="1" fillId="2" borderId="1" xfId="0" applyNumberFormat="1" applyFont="1" applyFill="1" applyBorder="1" applyAlignment="1">
      <alignment horizontal="left" vertical="center"/>
    </xf>
    <xf numFmtId="0" fontId="2" fillId="3" borderId="2" xfId="0" applyFont="1" applyFill="1" applyBorder="1"/>
    <xf numFmtId="14" fontId="2" fillId="3" borderId="3" xfId="0" applyNumberFormat="1" applyFont="1" applyFill="1" applyBorder="1"/>
    <xf numFmtId="164" fontId="2" fillId="3" borderId="3" xfId="0" applyNumberFormat="1" applyFont="1" applyFill="1" applyBorder="1"/>
    <xf numFmtId="0" fontId="2" fillId="0" borderId="2" xfId="0" applyFont="1" applyBorder="1"/>
    <xf numFmtId="14" fontId="2" fillId="0" borderId="3" xfId="0" applyNumberFormat="1" applyFont="1" applyBorder="1"/>
    <xf numFmtId="164" fontId="2" fillId="0" borderId="3" xfId="0" applyNumberFormat="1" applyFont="1" applyBorder="1"/>
    <xf numFmtId="14" fontId="0" fillId="0" borderId="0" xfId="0" applyNumberFormat="1"/>
    <xf numFmtId="0" fontId="1" fillId="2" borderId="1" xfId="0" applyFont="1" applyFill="1" applyBorder="1" applyAlignment="1">
      <alignment horizontal="left" vertical="center"/>
    </xf>
    <xf numFmtId="164" fontId="1" fillId="2" borderId="4" xfId="0" applyNumberFormat="1" applyFont="1" applyFill="1" applyBorder="1" applyAlignment="1">
      <alignment horizontal="left" vertical="center"/>
    </xf>
    <xf numFmtId="164" fontId="0" fillId="0" borderId="0" xfId="0" applyNumberFormat="1"/>
    <xf numFmtId="165" fontId="0" fillId="0" borderId="0" xfId="0" applyNumberFormat="1"/>
    <xf numFmtId="0" fontId="0" fillId="0" borderId="5" xfId="0" pivotButton="1" applyBorder="1"/>
    <xf numFmtId="0" fontId="0" fillId="0" borderId="5" xfId="0" applyBorder="1"/>
    <xf numFmtId="0" fontId="0" fillId="0" borderId="5" xfId="0" applyBorder="1" applyAlignment="1">
      <alignment horizontal="left"/>
    </xf>
    <xf numFmtId="165" fontId="0" fillId="0" borderId="5" xfId="0" applyNumberFormat="1" applyBorder="1"/>
    <xf numFmtId="0" fontId="0" fillId="0" borderId="5" xfId="0" applyBorder="1" applyAlignment="1">
      <alignment horizontal="left" indent="1"/>
    </xf>
    <xf numFmtId="166" fontId="0" fillId="0" borderId="0" xfId="0" applyNumberFormat="1"/>
    <xf numFmtId="9" fontId="1" fillId="2" borderId="4" xfId="0" applyNumberFormat="1" applyFont="1" applyFill="1" applyBorder="1" applyAlignment="1">
      <alignment horizontal="left" vertical="center"/>
    </xf>
    <xf numFmtId="9" fontId="0" fillId="0" borderId="0" xfId="0" applyNumberFormat="1"/>
    <xf numFmtId="10" fontId="1" fillId="2" borderId="4" xfId="0" applyNumberFormat="1" applyFont="1" applyFill="1" applyBorder="1" applyAlignment="1">
      <alignment horizontal="left" vertical="center"/>
    </xf>
    <xf numFmtId="10" fontId="0" fillId="0" borderId="0" xfId="0" applyNumberFormat="1"/>
    <xf numFmtId="164" fontId="0" fillId="0" borderId="5" xfId="0" applyNumberFormat="1" applyBorder="1"/>
    <xf numFmtId="165" fontId="1" fillId="2" borderId="4" xfId="0" applyNumberFormat="1" applyFont="1" applyFill="1" applyBorder="1" applyAlignment="1">
      <alignment horizontal="left" vertical="center"/>
    </xf>
    <xf numFmtId="0" fontId="1" fillId="2" borderId="4" xfId="0" applyFont="1" applyFill="1" applyBorder="1" applyAlignment="1">
      <alignment horizontal="left" vertical="center"/>
    </xf>
    <xf numFmtId="165" fontId="0" fillId="0" borderId="5" xfId="0" applyNumberFormat="1" applyBorder="1" applyAlignment="1">
      <alignment horizontal="left"/>
    </xf>
    <xf numFmtId="0" fontId="0" fillId="0" borderId="0" xfId="0" pivotButton="1"/>
    <xf numFmtId="0" fontId="0" fillId="0" borderId="0" xfId="0" applyAlignment="1">
      <alignment horizontal="left"/>
    </xf>
    <xf numFmtId="0" fontId="0" fillId="0" borderId="0" xfId="0" applyAlignment="1">
      <alignment horizontal="left" indent="1"/>
    </xf>
    <xf numFmtId="1" fontId="0" fillId="0" borderId="5" xfId="0" applyNumberFormat="1" applyBorder="1"/>
    <xf numFmtId="167" fontId="0" fillId="0" borderId="0" xfId="0" applyNumberFormat="1"/>
    <xf numFmtId="2" fontId="0" fillId="0" borderId="5" xfId="0" applyNumberFormat="1" applyBorder="1"/>
    <xf numFmtId="2" fontId="0" fillId="0" borderId="0" xfId="0" applyNumberFormat="1"/>
  </cellXfs>
  <cellStyles count="1">
    <cellStyle name="Normal" xfId="0" builtinId="0"/>
  </cellStyles>
  <dxfs count="157">
    <dxf>
      <numFmt numFmtId="165" formatCode="[$₹-4009]\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4009]\ #,##0"/>
    </dxf>
    <dxf>
      <numFmt numFmtId="165" formatCode="[$₹-4009]\ #,##0"/>
    </dxf>
    <dxf>
      <numFmt numFmtId="168" formatCode="[$₹-4009]\ #,##0;[$₹-4009]\ \-#,##0"/>
    </dxf>
    <dxf>
      <numFmt numFmtId="165" formatCode="[$₹-4009]\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4009]\ #,##0"/>
    </dxf>
    <dxf>
      <numFmt numFmtId="165" formatCode="[$₹-4009]\ #,##0"/>
    </dxf>
    <dxf>
      <numFmt numFmtId="165" formatCode="[$₹-4009]\ #,##0"/>
    </dxf>
    <dxf>
      <numFmt numFmtId="165" formatCode="[$₹-4009]\ #,##0"/>
    </dxf>
    <dxf>
      <numFmt numFmtId="165" formatCode="[$₹-4009]\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4009]\ #,##0"/>
    </dxf>
    <dxf>
      <numFmt numFmtId="165" formatCode="[$₹-4009]\ #,##0"/>
    </dxf>
    <dxf>
      <numFmt numFmtId="0" formatCode="General"/>
    </dxf>
    <dxf>
      <numFmt numFmtId="2" formatCode="0.00"/>
    </dxf>
    <dxf>
      <numFmt numFmtId="2" formatCode="0.00"/>
    </dxf>
    <dxf>
      <numFmt numFmtId="1" formatCode="0"/>
    </dxf>
    <dxf>
      <numFmt numFmtId="168" formatCode="[$₹-4009]\ #,##0;[$₹-4009]\ \-#,##0"/>
    </dxf>
    <dxf>
      <numFmt numFmtId="165" formatCode="[$₹-4009]\ #,##0"/>
    </dxf>
    <dxf>
      <numFmt numFmtId="165" formatCode="[$₹-4009]\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4009]\ #,##0"/>
    </dxf>
    <dxf>
      <numFmt numFmtId="165" formatCode="[$₹-4009]\ #,##0"/>
    </dxf>
    <dxf>
      <numFmt numFmtId="165" formatCode="[$₹-4009]\ #,##0"/>
    </dxf>
    <dxf>
      <numFmt numFmtId="165" formatCode="[$₹-4009]\ #,##0"/>
    </dxf>
    <dxf>
      <numFmt numFmtId="165" formatCode="[$₹-4009]\ #,##0"/>
    </dxf>
    <dxf>
      <numFmt numFmtId="165" formatCode="[$₹-4009]\ #,##0"/>
    </dxf>
    <dxf>
      <numFmt numFmtId="165" formatCode="[$₹-4009]\ #,##0"/>
    </dxf>
    <dxf>
      <numFmt numFmtId="165" formatCode="[$₹-4009]\ #,##0"/>
    </dxf>
    <dxf>
      <numFmt numFmtId="165" formatCode="[$₹-4009]\ #,##0"/>
    </dxf>
    <dxf>
      <numFmt numFmtId="165" formatCode="[$₹-4009]\ #,##0"/>
    </dxf>
    <dxf>
      <numFmt numFmtId="165" formatCode="[$₹-4009]\ #,##0"/>
    </dxf>
    <dxf>
      <numFmt numFmtId="165" formatCode="[$₹-4009]\ #,##0"/>
    </dxf>
    <dxf>
      <numFmt numFmtId="165" formatCode="[$₹-4009]\ #,##0"/>
    </dxf>
    <dxf>
      <numFmt numFmtId="165" formatCode="[$₹-4009]\ #,##0"/>
    </dxf>
    <dxf>
      <numFmt numFmtId="165" formatCode="[$₹-4009]\ #,##0"/>
    </dxf>
    <dxf>
      <numFmt numFmtId="165" formatCode="[$₹-4009]\ #,##0"/>
    </dxf>
    <dxf>
      <numFmt numFmtId="165" formatCode="[$₹-4009]\ #,##0"/>
    </dxf>
    <dxf>
      <numFmt numFmtId="165" formatCode="[$₹-4009]\ #,##0"/>
    </dxf>
    <dxf>
      <numFmt numFmtId="165" formatCode="[$₹-4009]\ #,##0"/>
    </dxf>
    <dxf>
      <numFmt numFmtId="165" formatCode="[$₹-4009]\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4009]\ #,##0"/>
    </dxf>
    <dxf>
      <numFmt numFmtId="165" formatCode="[$₹-4009]\ #,##0"/>
    </dxf>
    <dxf>
      <numFmt numFmtId="168" formatCode="[$₹-4009]\ #,##0;[$₹-4009]\ \-#,##0"/>
    </dxf>
    <dxf>
      <numFmt numFmtId="165" formatCode="[$₹-4009]\ #,##0"/>
    </dxf>
    <dxf>
      <numFmt numFmtId="165" formatCode="[$₹-4009]\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4009]\ #,##0"/>
    </dxf>
    <dxf>
      <numFmt numFmtId="1" formatCode="0"/>
    </dxf>
    <dxf>
      <numFmt numFmtId="2" formatCode="0.00"/>
    </dxf>
    <dxf>
      <numFmt numFmtId="2" formatCode="0.00"/>
    </dxf>
    <dxf>
      <numFmt numFmtId="0" formatCode="General"/>
    </dxf>
    <dxf>
      <numFmt numFmtId="165" formatCode="[$₹-4009]\ #,##0"/>
    </dxf>
    <dxf>
      <numFmt numFmtId="165" formatCode="[$₹-4009]\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4009]\ #,##0"/>
    </dxf>
    <dxf>
      <numFmt numFmtId="165" formatCode="[$₹-4009]\ #,##0"/>
    </dxf>
    <dxf>
      <numFmt numFmtId="165" formatCode="[$₹-4009]\ #,##0"/>
    </dxf>
    <dxf>
      <numFmt numFmtId="165" formatCode="[$₹-4009]\ #,##0"/>
    </dxf>
    <dxf>
      <numFmt numFmtId="165" formatCode="[$₹-4009]\ #,##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4009]\ #,##0"/>
    </dxf>
    <dxf>
      <numFmt numFmtId="168" formatCode="[$₹-4009]\ #,##0;[$₹-4009]\ \-#,##0"/>
    </dxf>
    <dxf>
      <numFmt numFmtId="165" formatCode="[$₹-4009]\ #,##0"/>
    </dxf>
    <dxf>
      <numFmt numFmtId="0" formatCode="General"/>
    </dxf>
    <dxf>
      <numFmt numFmtId="165" formatCode="[$₹-4009]\ #,##0"/>
    </dxf>
    <dxf>
      <numFmt numFmtId="165" formatCode="[$₹-4009]\ #,##0"/>
    </dxf>
    <dxf>
      <numFmt numFmtId="14" formatCode="0.00%"/>
    </dxf>
    <dxf>
      <numFmt numFmtId="13" formatCode="0%"/>
    </dxf>
    <dxf>
      <numFmt numFmtId="164" formatCode="[$₹-4009]\ #,##0.00"/>
    </dxf>
    <dxf>
      <numFmt numFmtId="164" formatCode="[$₹-4009]\ #,##0.00"/>
    </dxf>
    <dxf>
      <numFmt numFmtId="164" formatCode="[$₹-4009]\ #,##0.00"/>
    </dxf>
    <dxf>
      <numFmt numFmtId="164" formatCode="[$₹-4009]\ #,##0.00"/>
    </dxf>
    <dxf>
      <numFmt numFmtId="164" formatCode="[$₹-4009]\ #,##0.00"/>
    </dxf>
    <dxf>
      <numFmt numFmtId="164" formatCode="[$₹-4009]\ #,##0.00"/>
    </dxf>
    <dxf>
      <numFmt numFmtId="164" formatCode="[$₹-4009]\ #,##0.00"/>
    </dxf>
    <dxf>
      <numFmt numFmtId="164" formatCode="[$₹-4009]\ #,##0.00"/>
    </dxf>
    <dxf>
      <numFmt numFmtId="0" formatCode="General"/>
    </dxf>
    <dxf>
      <numFmt numFmtId="19" formatCode="m/d/yy"/>
    </dxf>
    <dxf>
      <numFmt numFmtId="19" formatCode="m/d/yy"/>
    </dxf>
    <dxf>
      <border outline="0">
        <top style="thin">
          <color indexed="64"/>
        </top>
      </border>
    </dxf>
    <dxf>
      <font>
        <b/>
        <i val="0"/>
        <strike val="0"/>
        <condense val="0"/>
        <extend val="0"/>
        <outline val="0"/>
        <shadow val="0"/>
        <u val="none"/>
        <vertAlign val="baseline"/>
        <sz val="12"/>
        <color theme="0"/>
        <name val="Tahoma"/>
        <family val="2"/>
        <scheme val="none"/>
      </font>
      <numFmt numFmtId="164" formatCode="[$₹-4009]\ #,##0.00"/>
      <fill>
        <patternFill patternType="solid">
          <fgColor theme="5"/>
          <bgColor theme="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Tahoma"/>
        <family val="2"/>
        <scheme val="none"/>
      </font>
      <numFmt numFmtId="164" formatCode="[$₹-4009]\ #,##0.0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Tahoma"/>
        <family val="2"/>
        <scheme val="none"/>
      </font>
      <numFmt numFmtId="164" formatCode="[$₹-4009]\ #,##0.0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Tahoma"/>
        <family val="2"/>
        <scheme val="none"/>
      </font>
      <numFmt numFmtId="164" formatCode="[$₹-4009]\ #,##0.0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Tahoma"/>
        <family val="2"/>
        <scheme val="none"/>
      </font>
      <numFmt numFmtId="164" formatCode="[$₹-4009]\ #,##0.0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Tahoma"/>
        <family val="2"/>
        <scheme val="none"/>
      </font>
      <numFmt numFmtId="164" formatCode="[$₹-4009]\ #,##0.00"/>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Tahoma"/>
        <family val="2"/>
        <scheme val="none"/>
      </font>
      <numFmt numFmtId="19" formatCode="m/d/yy"/>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Tahoma"/>
        <family val="2"/>
        <scheme val="none"/>
      </font>
      <border diagonalUp="0" diagonalDown="0">
        <left/>
        <right/>
        <top style="thin">
          <color indexed="64"/>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Tahoma"/>
        <family val="2"/>
        <scheme val="none"/>
      </font>
    </dxf>
    <dxf>
      <font>
        <b/>
        <i val="0"/>
        <strike val="0"/>
        <condense val="0"/>
        <extend val="0"/>
        <outline val="0"/>
        <shadow val="0"/>
        <u val="none"/>
        <vertAlign val="baseline"/>
        <sz val="12"/>
        <color theme="0"/>
        <name val="Tahoma"/>
        <family val="2"/>
        <scheme val="none"/>
      </font>
      <numFmt numFmtId="164" formatCode="[$₹-4009]\ #,##0.00"/>
      <fill>
        <patternFill patternType="solid">
          <fgColor theme="5"/>
          <bgColor theme="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Tahoma"/>
        <family val="2"/>
        <scheme val="none"/>
      </font>
      <numFmt numFmtId="164" formatCode="[$₹-4009]\ #,##0.00"/>
      <fill>
        <patternFill patternType="solid">
          <fgColor theme="5" tint="0.79998168889431442"/>
          <bgColor theme="5" tint="0.79998168889431442"/>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Tahoma"/>
        <family val="2"/>
        <scheme val="none"/>
      </font>
      <numFmt numFmtId="164" formatCode="[$₹-4009]\ #,##0.00"/>
      <fill>
        <patternFill patternType="solid">
          <fgColor theme="5" tint="0.79998168889431442"/>
          <bgColor theme="5" tint="0.79998168889431442"/>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Tahoma"/>
        <family val="2"/>
        <scheme val="none"/>
      </font>
      <numFmt numFmtId="164" formatCode="[$₹-4009]\ #,##0.00"/>
      <fill>
        <patternFill patternType="solid">
          <fgColor theme="5" tint="0.79998168889431442"/>
          <bgColor theme="5" tint="0.79998168889431442"/>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Tahoma"/>
        <family val="2"/>
        <scheme val="none"/>
      </font>
      <numFmt numFmtId="164" formatCode="[$₹-4009]\ #,##0.00"/>
      <fill>
        <patternFill patternType="solid">
          <fgColor theme="5" tint="0.79998168889431442"/>
          <bgColor theme="5" tint="0.79998168889431442"/>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Tahoma"/>
        <family val="2"/>
        <scheme val="none"/>
      </font>
      <numFmt numFmtId="164" formatCode="[$₹-4009]\ #,##0.00"/>
      <fill>
        <patternFill patternType="solid">
          <fgColor theme="5" tint="0.79998168889431442"/>
          <bgColor theme="5" tint="0.79998168889431442"/>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Tahoma"/>
        <family val="2"/>
        <scheme val="none"/>
      </font>
      <numFmt numFmtId="19" formatCode="m/d/yy"/>
      <fill>
        <patternFill patternType="solid">
          <fgColor theme="5" tint="0.79998168889431442"/>
          <bgColor theme="5" tint="0.79998168889431442"/>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11"/>
        <color theme="1"/>
        <name val="Tahoma"/>
        <family val="2"/>
        <scheme val="none"/>
      </font>
      <numFmt numFmtId="0" formatCode="General"/>
      <fill>
        <patternFill patternType="solid">
          <fgColor theme="5" tint="0.79998168889431442"/>
          <bgColor theme="5" tint="0.79998168889431442"/>
        </patternFill>
      </fill>
      <border diagonalUp="0" diagonalDown="0">
        <left/>
        <right/>
        <top style="thin">
          <color indexed="64"/>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Tahoma"/>
        <family val="2"/>
        <scheme val="none"/>
      </font>
      <fill>
        <patternFill patternType="solid">
          <fgColor theme="5" tint="0.79998168889431442"/>
          <bgColor theme="5" tint="0.79998168889431442"/>
        </patternFill>
      </fill>
    </dxf>
    <dxf>
      <font>
        <b/>
        <i val="0"/>
        <strike val="0"/>
        <condense val="0"/>
        <extend val="0"/>
        <outline val="0"/>
        <shadow val="0"/>
        <u val="none"/>
        <vertAlign val="baseline"/>
        <sz val="12"/>
        <color theme="0"/>
        <name val="Tahoma"/>
        <family val="2"/>
        <scheme val="none"/>
      </font>
      <numFmt numFmtId="164" formatCode="[$₹-4009]\ #,##0.00"/>
      <fill>
        <patternFill patternType="solid">
          <fgColor theme="5"/>
          <bgColor theme="5"/>
        </patternFill>
      </fill>
      <alignment horizontal="left" vertical="center" textRotation="0" wrapText="0" indent="0" justifyLastLine="0" shrinkToFit="0" readingOrder="0"/>
      <border diagonalUp="0" diagonalDown="0" outline="0">
        <left style="thin">
          <color indexed="64"/>
        </left>
        <right style="thin">
          <color indexed="64"/>
        </right>
        <top/>
        <bottom/>
      </border>
    </dxf>
    <dxf>
      <font>
        <b/>
        <sz val="11"/>
        <color theme="1"/>
      </font>
      <border>
        <vertical/>
        <horizontal/>
      </border>
    </dxf>
    <dxf>
      <font>
        <color theme="4" tint="-0.499984740745262"/>
      </font>
      <fill>
        <patternFill>
          <bgColor theme="4" tint="-0.499984740745262"/>
        </patternFill>
      </fill>
      <border>
        <left style="thin">
          <color theme="4"/>
        </left>
        <right style="thin">
          <color theme="4"/>
        </right>
        <top style="thin">
          <color theme="4"/>
        </top>
        <bottom style="thin">
          <color theme="4"/>
        </bottom>
        <vertical/>
        <horizontal/>
      </border>
    </dxf>
    <dxf>
      <fill>
        <patternFill>
          <fgColor theme="4" tint="-0.499984740745262"/>
          <bgColor theme="4" tint="-0.499984740745262"/>
        </patternFill>
      </fill>
    </dxf>
    <dxf>
      <font>
        <b/>
        <color theme="1"/>
      </font>
      <border>
        <bottom style="thin">
          <color theme="4"/>
        </bottom>
        <vertical/>
        <horizontal/>
      </border>
    </dxf>
    <dxf>
      <font>
        <color theme="0"/>
      </font>
      <fill>
        <patternFill>
          <fgColor theme="4" tint="-0.499984740745262"/>
          <bgColor theme="4" tint="-0.499984740745262"/>
        </patternFill>
      </fill>
      <border>
        <left style="thin">
          <color theme="4"/>
        </left>
        <right style="thin">
          <color theme="4"/>
        </right>
        <top style="thin">
          <color theme="4"/>
        </top>
        <bottom style="thin">
          <color theme="4"/>
        </bottom>
        <vertical/>
        <horizontal/>
      </border>
    </dxf>
    <dxf>
      <fill>
        <patternFill>
          <fgColor theme="4" tint="-0.499984740745262"/>
          <bgColor theme="4" tint="-0.499984740745262"/>
        </patternFill>
      </fill>
    </dxf>
    <dxf>
      <fill>
        <patternFill>
          <fgColor theme="4" tint="-0.499984740745262"/>
          <bgColor theme="4" tint="-0.499984740745262"/>
        </patternFill>
      </fill>
    </dxf>
    <dxf>
      <fill>
        <patternFill>
          <fgColor theme="4" tint="-0.499984740745262"/>
          <bgColor theme="4" tint="-0.499984740745262"/>
        </patternFill>
      </fill>
    </dxf>
    <dxf>
      <fill>
        <patternFill>
          <fgColor theme="4" tint="-0.499984740745262"/>
          <bgColor theme="4" tint="-0.499984740745262"/>
        </patternFill>
      </fill>
    </dxf>
    <dxf>
      <fill>
        <patternFill>
          <fgColor theme="4" tint="-0.499984740745262"/>
          <bgColor theme="4" tint="-0.499984740745262"/>
        </patternFill>
      </fill>
    </dxf>
    <dxf>
      <fill>
        <patternFill>
          <fgColor theme="4" tint="-0.499984740745262"/>
          <bgColor theme="4" tint="-0.499984740745262"/>
        </patternFill>
      </fill>
    </dxf>
    <dxf>
      <fill>
        <patternFill>
          <fgColor theme="4" tint="-0.499984740745262"/>
          <bgColor theme="4" tint="-0.499984740745262"/>
        </patternFill>
      </fill>
    </dxf>
    <dxf>
      <fill>
        <patternFill>
          <fgColor theme="4" tint="-0.499984740745262"/>
          <bgColor theme="4" tint="-0.499984740745262"/>
        </patternFill>
      </fill>
    </dxf>
    <dxf>
      <fill>
        <patternFill>
          <fgColor theme="4" tint="-0.499984740745262"/>
          <bgColor theme="4" tint="-0.499984740745262"/>
        </patternFill>
      </fill>
    </dxf>
    <dxf>
      <fill>
        <patternFill>
          <fgColor theme="4" tint="-0.499984740745262"/>
          <bgColor theme="4" tint="-0.499984740745262"/>
        </patternFill>
      </fill>
    </dxf>
    <dxf>
      <fill>
        <patternFill>
          <fgColor theme="4" tint="-0.499984740745262"/>
          <bgColor theme="4" tint="-0.499984740745262"/>
        </patternFill>
      </fill>
    </dxf>
    <dxf>
      <fill>
        <patternFill>
          <fgColor theme="4" tint="-0.499984740745262"/>
          <bgColor theme="4" tint="-0.499984740745262"/>
        </patternFill>
      </fill>
    </dxf>
    <dxf>
      <font>
        <color theme="0"/>
      </font>
      <fill>
        <patternFill patternType="solid">
          <fgColor theme="4" tint="-0.499984740745262"/>
          <bgColor theme="4" tint="-0.499984740745262"/>
        </patternFill>
      </fill>
      <border diagonalUp="0" diagonalDown="0">
        <left/>
        <right/>
        <top/>
        <bottom/>
        <vertical/>
        <horizontal/>
      </border>
    </dxf>
  </dxfs>
  <tableStyles count="3" defaultTableStyle="TableStyleMedium2" defaultPivotStyle="PivotStyleLight16">
    <tableStyle name="SlicerStyleDark1 2" pivot="0" table="0" count="21" xr9:uid="{E6BC4044-32AD-C24C-B96D-EB5360050BB4}">
      <tableStyleElement type="wholeTable" dxfId="156"/>
      <tableStyleElement type="headerRow" dxfId="155"/>
      <tableStyleElement type="totalRow" dxfId="154"/>
      <tableStyleElement type="firstColumn" dxfId="153"/>
      <tableStyleElement type="lastColumn" dxfId="152"/>
      <tableStyleElement type="firstRowStripe" dxfId="151"/>
      <tableStyleElement type="secondRowStripe" dxfId="150"/>
      <tableStyleElement type="firstColumnStripe" dxfId="149"/>
      <tableStyleElement type="secondColumnStripe" dxfId="148"/>
      <tableStyleElement type="firstHeaderCell" dxfId="147"/>
      <tableStyleElement type="lastHeaderCell" dxfId="146"/>
      <tableStyleElement type="firstTotalCell" dxfId="145"/>
      <tableStyleElement type="lastTotalCell" dxfId="144"/>
    </tableStyle>
    <tableStyle name="SlicerStyleLight1 2" pivot="0" table="0" count="11" xr9:uid="{A8D3CE75-6259-6D40-84E5-6167839E25D6}">
      <tableStyleElement type="wholeTable" dxfId="143"/>
      <tableStyleElement type="headerRow" dxfId="142"/>
      <tableStyleElement type="firstColumnStripe" dxfId="141"/>
    </tableStyle>
    <tableStyle name="TimeSlicerStyleDark1 2" pivot="0" table="0" count="9" xr9:uid="{BFF93549-1E79-0344-8D00-B9AA51C959E1}">
      <tableStyleElement type="wholeTable" dxfId="140"/>
      <tableStyleElement type="headerRow" dxfId="139"/>
    </tableStyle>
  </tableStyles>
  <colors>
    <mruColors>
      <color rgb="FFFFED00"/>
      <color rgb="FF59817A"/>
      <color rgb="FF6F7E80"/>
      <color rgb="FF7D8D8F"/>
      <color rgb="FF8FA1A1"/>
      <color rgb="FFE9EFF3"/>
      <color rgb="FFFFFFFF"/>
      <color rgb="FFDDF2F7"/>
      <color rgb="FFC6EFFF"/>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[Dashboard.xlsm]Pivot!PivotTable12</c:name>
    <c:fmtId val="10"/>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sz="1400"/>
              <a:t>Total Outstanding by months </a:t>
            </a:r>
            <a:r>
              <a:rPr lang="en-US" sz="1400" b="1" i="0" u="none" strike="noStrike" kern="1200" cap="all" spc="100" normalizeH="0" baseline="0">
                <a:solidFill>
                  <a:sysClr val="window" lastClr="FFFFFF"/>
                </a:solidFill>
              </a:rPr>
              <a:t>with Auto - interest payment</a:t>
            </a:r>
            <a:endParaRPr lang="en-US" sz="1400"/>
          </a:p>
        </c:rich>
      </c:tx>
      <c:layout>
        <c:manualLayout>
          <c:xMode val="edge"/>
          <c:yMode val="edge"/>
          <c:x val="0.11368863416849498"/>
          <c:y val="4.4873905313755182E-3"/>
        </c:manualLayout>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2959696041244235E-2"/>
          <c:y val="0.21534512731363126"/>
          <c:w val="0.98375041933949092"/>
          <c:h val="0.60281089165530288"/>
        </c:manualLayout>
      </c:layout>
      <c:lineChart>
        <c:grouping val="standard"/>
        <c:varyColors val="0"/>
        <c:ser>
          <c:idx val="0"/>
          <c:order val="0"/>
          <c:tx>
            <c:strRef>
              <c:f>Pivot!$J$20</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rgbClr val="156082"/>
              </a:solidFill>
              <a:ln>
                <a:noFill/>
              </a:ln>
              <a:effectLst/>
            </c:spPr>
            <c:txPr>
              <a:bodyPr rot="0" spcFirstLastPara="1" vertOverflow="ellipsis" vert="horz" wrap="square" lIns="38100" tIns="19050" rIns="38100" bIns="19050" anchor="ctr" anchorCtr="1">
                <a:spAutoFit/>
              </a:bodyPr>
              <a:lstStyle/>
              <a:p>
                <a:pPr>
                  <a:defRPr sz="6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multiLvlStrRef>
              <c:f>Pivot!$I$21:$I$34</c:f>
              <c:multiLvlStrCache>
                <c:ptCount val="12"/>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lvl>
                <c:lvl>
                  <c:pt idx="0">
                    <c:v>2024</c:v>
                  </c:pt>
                </c:lvl>
              </c:multiLvlStrCache>
            </c:multiLvlStrRef>
          </c:cat>
          <c:val>
            <c:numRef>
              <c:f>Pivot!$J$21:$J$34</c:f>
              <c:numCache>
                <c:formatCode>[$₹-4009]\ #,##0.00</c:formatCode>
                <c:ptCount val="12"/>
                <c:pt idx="0">
                  <c:v>1563082</c:v>
                </c:pt>
                <c:pt idx="1">
                  <c:v>1577168</c:v>
                </c:pt>
                <c:pt idx="2">
                  <c:v>1591395</c:v>
                </c:pt>
                <c:pt idx="3">
                  <c:v>1605764</c:v>
                </c:pt>
                <c:pt idx="4">
                  <c:v>1620276</c:v>
                </c:pt>
                <c:pt idx="5">
                  <c:v>1634934</c:v>
                </c:pt>
                <c:pt idx="6">
                  <c:v>1649739</c:v>
                </c:pt>
                <c:pt idx="7">
                  <c:v>1664691</c:v>
                </c:pt>
                <c:pt idx="8">
                  <c:v>1679793</c:v>
                </c:pt>
                <c:pt idx="9">
                  <c:v>1695046</c:v>
                </c:pt>
                <c:pt idx="10">
                  <c:v>1710734</c:v>
                </c:pt>
                <c:pt idx="11">
                  <c:v>1726581</c:v>
                </c:pt>
              </c:numCache>
            </c:numRef>
          </c:val>
          <c:smooth val="0"/>
          <c:extLst>
            <c:ext xmlns:c16="http://schemas.microsoft.com/office/drawing/2014/chart" uri="{C3380CC4-5D6E-409C-BE32-E72D297353CC}">
              <c16:uniqueId val="{00000000-2EE3-7E48-8DD2-1F3DFD6CDAFB}"/>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219557407"/>
        <c:axId val="1220388255"/>
      </c:lineChart>
      <c:catAx>
        <c:axId val="121955740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en-US"/>
          </a:p>
        </c:txPr>
        <c:crossAx val="1220388255"/>
        <c:crosses val="autoZero"/>
        <c:auto val="1"/>
        <c:lblAlgn val="ctr"/>
        <c:lblOffset val="100"/>
        <c:noMultiLvlLbl val="0"/>
      </c:catAx>
      <c:valAx>
        <c:axId val="1220388255"/>
        <c:scaling>
          <c:orientation val="minMax"/>
        </c:scaling>
        <c:delete val="1"/>
        <c:axPos val="l"/>
        <c:numFmt formatCode="[$₹-4009]\ #,##0.00" sourceLinked="1"/>
        <c:majorTickMark val="none"/>
        <c:minorTickMark val="none"/>
        <c:tickLblPos val="nextTo"/>
        <c:crossAx val="12195574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[Dashboard.xlsm]Pivot!PivotTable2</c:name>
    <c:fmtId val="8"/>
  </c:pivotSource>
  <c:chart>
    <c:title>
      <c:layout>
        <c:manualLayout>
          <c:xMode val="edge"/>
          <c:yMode val="edge"/>
          <c:x val="0.52124969291201129"/>
          <c:y val="4.7270036801641477E-2"/>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bg1"/>
              </a:solidFill>
              <a:latin typeface="Calibri" panose="020F0502020204030204" pitchFamily="34" charset="0"/>
              <a:ea typeface="+mn-ea"/>
              <a:cs typeface="Calibri" panose="020F0502020204030204" pitchFamily="34" charset="0"/>
            </a:defRPr>
          </a:pPr>
          <a:endParaRPr lang="en-US"/>
        </a:p>
      </c:txPr>
    </c:title>
    <c:autoTitleDeleted val="0"/>
    <c:pivotFmts>
      <c:pivotFmt>
        <c:idx val="0"/>
      </c:pivotFmt>
      <c:pivotFmt>
        <c:idx val="1"/>
      </c:pivotFmt>
      <c:pivotFmt>
        <c:idx val="2"/>
      </c:pivotFmt>
      <c:pivotFmt>
        <c:idx val="3"/>
        <c:dLbl>
          <c:idx val="0"/>
          <c:dLblPos val="outEnd"/>
          <c:showLegendKey val="0"/>
          <c:showVal val="0"/>
          <c:showCatName val="0"/>
          <c:showSerName val="0"/>
          <c:showPercent val="1"/>
          <c:showBubbleSize val="0"/>
          <c:separator>, </c:separator>
          <c:extLst>
            <c:ext xmlns:c15="http://schemas.microsoft.com/office/drawing/2012/chart" uri="{CE6537A1-D6FC-4f65-9D91-7224C49458BB}"/>
          </c:extLst>
        </c:dLbl>
      </c:pivotFmt>
      <c:pivotFmt>
        <c:idx val="4"/>
      </c:pivotFmt>
      <c:pivotFmt>
        <c:idx val="5"/>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8"/>
      </c:pivotFmt>
      <c:pivotFmt>
        <c:idx val="9"/>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10"/>
      </c:pivotFmt>
      <c:pivotFmt>
        <c:idx val="11"/>
      </c:pivotFmt>
      <c:pivotFmt>
        <c:idx val="12"/>
        <c:spPr>
          <a:solidFill>
            <a:schemeClr val="accent1"/>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13"/>
      </c:pivotFmt>
      <c:pivotFmt>
        <c:idx val="14"/>
      </c:pivotFmt>
      <c:pivotFmt>
        <c:idx val="15"/>
        <c:spPr>
          <a:solidFill>
            <a:schemeClr val="accent1"/>
          </a:solidFill>
          <a:ln>
            <a:noFill/>
          </a:ln>
          <a:effectLst>
            <a:outerShdw blurRad="254000" sx="102000" sy="102000" algn="ctr" rotWithShape="0">
              <a:prstClr val="black">
                <a:alpha val="20000"/>
              </a:prst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outerShdw blurRad="254000" sx="102000" sy="102000" algn="ctr" rotWithShape="0">
              <a:prstClr val="black">
                <a:alpha val="20000"/>
              </a:prst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outerShdw blurRad="254000" sx="102000" sy="102000" algn="ctr" rotWithShape="0">
              <a:prstClr val="black">
                <a:alpha val="20000"/>
              </a:prstClr>
            </a:outerShdw>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19"/>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1"/>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24"/>
        <c:spPr>
          <a:solidFill>
            <a:srgbClr val="92D050"/>
          </a:solidFill>
          <a:ln>
            <a:noFill/>
          </a:ln>
          <a:effectLst>
            <a:outerShdw blurRad="254000" sx="102000" sy="102000" algn="ctr" rotWithShape="0">
              <a:prstClr val="black">
                <a:alpha val="20000"/>
              </a:prstClr>
            </a:outerShdw>
          </a:effectLst>
        </c:spPr>
      </c:pivotFmt>
      <c:pivotFmt>
        <c:idx val="2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26"/>
        <c:spPr>
          <a:solidFill>
            <a:schemeClr val="accent1"/>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2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28"/>
        <c:spPr>
          <a:solidFill>
            <a:schemeClr val="accent1"/>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29"/>
        <c:spPr>
          <a:solidFill>
            <a:schemeClr val="accent1"/>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30"/>
        <c:spPr>
          <a:solidFill>
            <a:schemeClr val="accent1"/>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32"/>
        <c:spPr>
          <a:solidFill>
            <a:schemeClr val="accent1"/>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33"/>
        <c:spPr>
          <a:solidFill>
            <a:schemeClr val="accent1"/>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34"/>
        <c:spPr>
          <a:solidFill>
            <a:schemeClr val="accent1"/>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35"/>
        <c:spPr>
          <a:solidFill>
            <a:schemeClr val="accent1"/>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37"/>
        <c:spPr>
          <a:solidFill>
            <a:schemeClr val="accent1"/>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38"/>
        <c:spPr>
          <a:solidFill>
            <a:schemeClr val="accent1"/>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39"/>
        <c:spPr>
          <a:solidFill>
            <a:schemeClr val="accent1"/>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40"/>
        <c:spPr>
          <a:solidFill>
            <a:schemeClr val="accent1"/>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42"/>
        <c:spPr>
          <a:solidFill>
            <a:schemeClr val="accent1"/>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43"/>
        <c:spPr>
          <a:solidFill>
            <a:schemeClr val="accent1"/>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44"/>
        <c:spPr>
          <a:solidFill>
            <a:schemeClr val="accent1"/>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accent1"/>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47"/>
        <c:spPr>
          <a:solidFill>
            <a:schemeClr val="accent1"/>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48"/>
        <c:spPr>
          <a:solidFill>
            <a:schemeClr val="accent1"/>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49"/>
        <c:spPr>
          <a:solidFill>
            <a:schemeClr val="accent1"/>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50"/>
        <c:spPr>
          <a:solidFill>
            <a:schemeClr val="accent1"/>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52"/>
        <c:spPr>
          <a:solidFill>
            <a:schemeClr val="accent1"/>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53"/>
        <c:spPr>
          <a:solidFill>
            <a:schemeClr val="accent1"/>
          </a:solidFill>
          <a:ln>
            <a:noFill/>
          </a:ln>
          <a:effectLst>
            <a:outerShdw blurRad="254000" sx="102000" sy="102000" algn="ctr" rotWithShape="0">
              <a:prstClr val="black">
                <a:alpha val="20000"/>
              </a:prstClr>
            </a:outerShdw>
          </a:effectLst>
        </c:spPr>
        <c:marker>
          <c:symbol val="none"/>
        </c:marker>
        <c:dLbl>
          <c:idx val="0"/>
          <c:dLblPos val="outEnd"/>
          <c:showLegendKey val="0"/>
          <c:showVal val="0"/>
          <c:showCatName val="0"/>
          <c:showSerName val="0"/>
          <c:showPercent val="1"/>
          <c:showBubbleSize val="0"/>
          <c:extLst>
            <c:ext xmlns:c15="http://schemas.microsoft.com/office/drawing/2012/chart" uri="{CE6537A1-D6FC-4f65-9D91-7224C49458BB}"/>
          </c:extLst>
        </c:dLbl>
      </c:pivotFmt>
      <c:pivotFmt>
        <c:idx val="54"/>
        <c:spPr>
          <a:solidFill>
            <a:schemeClr val="accent1"/>
          </a:solidFill>
          <a:ln>
            <a:noFill/>
          </a:ln>
          <a:effectLst>
            <a:outerShdw blurRad="254000" sx="102000" sy="102000" algn="ctr" rotWithShape="0">
              <a:prstClr val="black">
                <a:alpha val="20000"/>
              </a:prstClr>
            </a:outerShdw>
          </a:effectLst>
        </c:spPr>
      </c:pivotFmt>
      <c:pivotFmt>
        <c:idx val="55"/>
        <c:spPr>
          <a:solidFill>
            <a:schemeClr val="accent1"/>
          </a:solidFill>
          <a:ln>
            <a:noFill/>
          </a:ln>
          <a:effectLst>
            <a:outerShdw blurRad="254000" sx="102000" sy="102000" algn="ctr" rotWithShape="0">
              <a:prstClr val="black">
                <a:alpha val="20000"/>
              </a:prstClr>
            </a:outerShdw>
          </a:effectLst>
        </c:spPr>
      </c:pivotFmt>
      <c:pivotFmt>
        <c:idx val="56"/>
        <c:spPr>
          <a:solidFill>
            <a:schemeClr val="accent1"/>
          </a:solidFill>
          <a:ln>
            <a:noFill/>
          </a:ln>
          <a:effectLst>
            <a:outerShdw blurRad="254000" sx="102000" sy="102000" algn="ctr" rotWithShape="0">
              <a:prstClr val="black">
                <a:alpha val="20000"/>
              </a:prstClr>
            </a:outerShdw>
          </a:effectLst>
        </c:spPr>
      </c:pivotFmt>
      <c:pivotFmt>
        <c:idx val="57"/>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Pivot!$O$1:$O$3</c:f>
              <c:strCache>
                <c:ptCount val="1"/>
                <c:pt idx="0">
                  <c:v>2024 - March</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68A4-2D44-9F65-EBD40C6D132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68A4-2D44-9F65-EBD40C6D1326}"/>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0"/>
            <c:showVal val="0"/>
            <c:showCatName val="0"/>
            <c:showSerName val="0"/>
            <c:showPercent val="1"/>
            <c:showBubbleSize val="0"/>
            <c:showLeaderLines val="0"/>
            <c:extLst>
              <c:ext xmlns:c15="http://schemas.microsoft.com/office/drawing/2012/chart" uri="{CE6537A1-D6FC-4f65-9D91-7224C49458BB}"/>
            </c:extLst>
          </c:dLbls>
          <c:cat>
            <c:strRef>
              <c:f>Pivot!$N$4:$N$5</c:f>
              <c:strCache>
                <c:ptCount val="2"/>
                <c:pt idx="0">
                  <c:v>Interest Raised</c:v>
                </c:pt>
                <c:pt idx="1">
                  <c:v>Principal Amount</c:v>
                </c:pt>
              </c:strCache>
            </c:strRef>
          </c:cat>
          <c:val>
            <c:numRef>
              <c:f>Pivot!$O$4:$O$5</c:f>
              <c:numCache>
                <c:formatCode>[$₹-4009]\ #,##0</c:formatCode>
                <c:ptCount val="2"/>
                <c:pt idx="0">
                  <c:v>52263</c:v>
                </c:pt>
                <c:pt idx="1">
                  <c:v>1545312</c:v>
                </c:pt>
              </c:numCache>
            </c:numRef>
          </c:val>
          <c:extLst>
            <c:ext xmlns:c16="http://schemas.microsoft.com/office/drawing/2014/chart" uri="{C3380CC4-5D6E-409C-BE32-E72D297353CC}">
              <c16:uniqueId val="{00000004-68A4-2D44-9F65-EBD40C6D1326}"/>
            </c:ext>
          </c:extLst>
        </c:ser>
        <c:dLbls>
          <c:dLblPos val="ctr"/>
          <c:showLegendKey val="0"/>
          <c:showVal val="0"/>
          <c:showCatName val="0"/>
          <c:showSerName val="0"/>
          <c:showPercent val="1"/>
          <c:showBubbleSize val="0"/>
          <c:showLeaderLines val="0"/>
        </c:dLbls>
        <c:firstSliceAng val="0"/>
      </c:pieChart>
      <c:spPr>
        <a:noFill/>
        <a:ln>
          <a:noFill/>
        </a:ln>
        <a:effectLst/>
      </c:spPr>
    </c:plotArea>
    <c:legend>
      <c:legendPos val="r"/>
      <c:layout>
        <c:manualLayout>
          <c:xMode val="edge"/>
          <c:yMode val="edge"/>
          <c:x val="0.65162819752644141"/>
          <c:y val="0.83051651553170336"/>
          <c:w val="0.27880390952390305"/>
          <c:h val="0.1694838372294114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[Dashboard.xlsm]Pivot!PivotTable7</c:name>
    <c:fmtId val="8"/>
  </c:pivotSource>
  <c:chart>
    <c:title>
      <c:layout>
        <c:manualLayout>
          <c:xMode val="edge"/>
          <c:yMode val="edge"/>
          <c:x val="0.30890220079215103"/>
          <c:y val="6.7697089353187315E-2"/>
        </c:manualLayout>
      </c:layout>
      <c:overlay val="1"/>
      <c:spPr>
        <a:noFill/>
        <a:ln>
          <a:noFill/>
        </a:ln>
        <a:effectLst/>
      </c:spPr>
      <c:txPr>
        <a:bodyPr rot="0" spcFirstLastPara="1" vertOverflow="ellipsis" vert="horz" wrap="square" anchor="ctr" anchorCtr="1"/>
        <a:lstStyle/>
        <a:p>
          <a:pPr>
            <a:defRPr sz="1800" b="0" i="0" u="none" strike="noStrike" kern="1200" baseline="0">
              <a:ln>
                <a:noFill/>
              </a:ln>
              <a:solidFill>
                <a:schemeClr val="bg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pivotFmt>
      <c:pivotFmt>
        <c:idx val="5"/>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pivotFmt>
      <c:pivotFmt>
        <c:idx val="8"/>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pivotFmt>
      <c:pivotFmt>
        <c:idx val="11"/>
      </c:pivotFmt>
      <c:pivotFmt>
        <c:idx val="12"/>
        <c:spPr>
          <a:solidFill>
            <a:schemeClr val="accent1"/>
          </a:solidFill>
          <a:ln>
            <a:noFill/>
          </a:ln>
          <a:effectLst>
            <a:outerShdw blurRad="254000" sx="102000" sy="102000" algn="ctr" rotWithShape="0">
              <a:prstClr val="black">
                <a:alpha val="20000"/>
              </a:prstClr>
            </a:outerShdw>
          </a:effectLst>
        </c:spPr>
        <c:marker>
          <c:spPr>
            <a:solidFill>
              <a:schemeClr val="accent1">
                <a:alpha val="85000"/>
              </a:schemeClr>
            </a:solidFill>
            <a:ln>
              <a:no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outerShdw blurRad="254000" sx="102000" sy="102000" algn="ctr" rotWithShape="0">
              <a:prstClr val="black">
                <a:alpha val="20000"/>
              </a:prstClr>
            </a:outerShdw>
          </a:effectLst>
        </c:spPr>
        <c:marker>
          <c:spPr>
            <a:solidFill>
              <a:schemeClr val="accent1">
                <a:alpha val="85000"/>
              </a:schemeClr>
            </a:solidFill>
            <a:ln>
              <a:noFill/>
            </a:ln>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outerShdw blurRad="254000" sx="102000" sy="102000" algn="ctr" rotWithShape="0">
              <a:prstClr val="black">
                <a:alpha val="20000"/>
              </a:prstClr>
            </a:outerShdw>
          </a:effectLst>
        </c:spPr>
        <c:marker>
          <c:spPr>
            <a:solidFill>
              <a:schemeClr val="accent1">
                <a:alpha val="85000"/>
              </a:schemeClr>
            </a:solidFill>
            <a:ln>
              <a:noFill/>
            </a:ln>
            <a:effectLst/>
          </c:spPr>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2"/>
          </a:solidFill>
          <a:ln>
            <a:noFill/>
          </a:ln>
          <a:effectLst>
            <a:outerShdw blurRad="254000" sx="102000" sy="102000" algn="ctr" rotWithShape="0">
              <a:prstClr val="black">
                <a:alpha val="20000"/>
              </a:prstClr>
            </a:outerShdw>
          </a:effectLst>
        </c:spPr>
        <c:dLbl>
          <c:idx val="0"/>
          <c:layout>
            <c:manualLayout>
              <c:x val="0"/>
              <c:y val="-0.1402264725006441"/>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a:outerShdw blurRad="254000" sx="102000" sy="102000" algn="ctr" rotWithShape="0">
              <a:prstClr val="black">
                <a:alpha val="20000"/>
              </a:prstClr>
            </a:outerShdw>
          </a:effectLst>
        </c:spPr>
        <c:marker>
          <c:spPr>
            <a:solidFill>
              <a:schemeClr val="accent1">
                <a:alpha val="85000"/>
              </a:schemeClr>
            </a:solidFill>
            <a:ln>
              <a:noFill/>
            </a:ln>
            <a:effectLst/>
          </c:spPr>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8"/>
        <c:spPr>
          <a:solidFill>
            <a:schemeClr val="accent1"/>
          </a:solidFill>
          <a:ln>
            <a:noFill/>
          </a:ln>
          <a:effectLst>
            <a:outerShdw blurRad="254000" sx="102000" sy="102000" algn="ctr" rotWithShape="0">
              <a:prstClr val="black">
                <a:alpha val="20000"/>
              </a:prstClr>
            </a:outerShdw>
          </a:effectLst>
        </c:spPr>
        <c:marker>
          <c:spPr>
            <a:solidFill>
              <a:schemeClr val="accent1">
                <a:alpha val="85000"/>
              </a:schemeClr>
            </a:solidFill>
            <a:ln>
              <a:noFill/>
            </a:ln>
            <a:effectLst/>
          </c:spPr>
        </c:marker>
        <c:dLbl>
          <c:idx val="0"/>
          <c:showLegendKey val="0"/>
          <c:showVal val="0"/>
          <c:showCatName val="0"/>
          <c:showSerName val="0"/>
          <c:showPercent val="1"/>
          <c:showBubbleSize val="0"/>
          <c:extLst>
            <c:ext xmlns:c15="http://schemas.microsoft.com/office/drawing/2012/chart" uri="{CE6537A1-D6FC-4f65-9D91-7224C49458BB}"/>
          </c:extLst>
        </c:dLbl>
      </c:pivotFmt>
      <c:pivotFmt>
        <c:idx val="19"/>
        <c:spPr>
          <a:solidFill>
            <a:schemeClr val="accent1"/>
          </a:solidFill>
          <a:ln>
            <a:noFill/>
          </a:ln>
          <a:effectLst>
            <a:outerShdw blurRad="254000" sx="102000" sy="102000" algn="ctr" rotWithShape="0">
              <a:prstClr val="black">
                <a:alpha val="20000"/>
              </a:prstClr>
            </a:outerShdw>
          </a:effectLst>
        </c:spPr>
        <c:marker>
          <c:spPr>
            <a:solidFill>
              <a:schemeClr val="accent1">
                <a:alpha val="85000"/>
              </a:schemeClr>
            </a:solidFill>
            <a:ln>
              <a:noFill/>
            </a:ln>
            <a:effectLst/>
          </c:spPr>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0"/>
        <c:dLbl>
          <c:idx val="0"/>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1"/>
          </a:solidFill>
          <a:ln>
            <a:noFill/>
          </a:ln>
          <a:effectLst>
            <a:outerShdw blurRad="254000" sx="102000" sy="102000" algn="ctr" rotWithShape="0">
              <a:prstClr val="black">
                <a:alpha val="20000"/>
              </a:prstClr>
            </a:outerShdw>
          </a:effectLst>
        </c:spPr>
        <c:marker>
          <c:symbol val="none"/>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2"/>
        <c:spPr>
          <a:solidFill>
            <a:schemeClr val="accent1"/>
          </a:solidFill>
          <a:ln>
            <a:noFill/>
            <a:round/>
          </a:ln>
          <a:effectLst>
            <a:outerShdw blurRad="254000" sx="102000" sy="102000" algn="ctr" rotWithShape="0">
              <a:prstClr val="black">
                <a:alpha val="20000"/>
              </a:prstClr>
            </a:outerShdw>
          </a:effectLst>
        </c:spPr>
        <c:marker>
          <c:spPr>
            <a:solidFill>
              <a:schemeClr val="accent1">
                <a:alpha val="85000"/>
              </a:schemeClr>
            </a:solidFill>
            <a:ln>
              <a:noFill/>
            </a:ln>
            <a:effectLst/>
          </c:spPr>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3"/>
        <c:spPr>
          <a:solidFill>
            <a:schemeClr val="accent1"/>
          </a:solidFill>
          <a:ln>
            <a:noFill/>
          </a:ln>
          <a:effectLst>
            <a:outerShdw blurRad="254000" sx="102000" sy="102000" algn="ctr" rotWithShape="0">
              <a:prstClr val="black">
                <a:alpha val="20000"/>
              </a:prstClr>
            </a:outerShdw>
          </a:effectLst>
        </c:spPr>
        <c:marker>
          <c:spPr>
            <a:solidFill>
              <a:schemeClr val="accent1">
                <a:alpha val="85000"/>
              </a:schemeClr>
            </a:solidFill>
            <a:ln>
              <a:noFill/>
            </a:ln>
            <a:effectLst/>
          </c:spPr>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4"/>
        <c:spPr>
          <a:solidFill>
            <a:schemeClr val="accent1"/>
          </a:solidFill>
          <a:ln>
            <a:noFill/>
          </a:ln>
          <a:effectLst>
            <a:outerShdw blurRad="254000" sx="102000" sy="102000" algn="ctr" rotWithShape="0">
              <a:prstClr val="black">
                <a:alpha val="20000"/>
              </a:prstClr>
            </a:outerShdw>
          </a:effectLst>
        </c:spPr>
        <c:marker>
          <c:spPr>
            <a:solidFill>
              <a:schemeClr val="accent1">
                <a:alpha val="85000"/>
              </a:schemeClr>
            </a:solidFill>
            <a:ln>
              <a:noFill/>
            </a:ln>
            <a:effectLst/>
          </c:spPr>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5"/>
        <c:dLbl>
          <c:idx val="0"/>
          <c:showLegendKey val="0"/>
          <c:showVal val="0"/>
          <c:showCatName val="0"/>
          <c:showSerName val="0"/>
          <c:showPercent val="1"/>
          <c:showBubbleSize val="0"/>
          <c:extLst>
            <c:ext xmlns:c15="http://schemas.microsoft.com/office/drawing/2012/chart" uri="{CE6537A1-D6FC-4f65-9D91-7224C49458BB}"/>
          </c:extLst>
        </c:dLbl>
      </c:pivotFmt>
      <c:pivotFmt>
        <c:idx val="26"/>
        <c:dLbl>
          <c:idx val="0"/>
          <c:showLegendKey val="0"/>
          <c:showVal val="0"/>
          <c:showCatName val="0"/>
          <c:showSerName val="0"/>
          <c:showPercent val="1"/>
          <c:showBubbleSize val="0"/>
          <c:extLst>
            <c:ext xmlns:c15="http://schemas.microsoft.com/office/drawing/2012/chart" uri="{CE6537A1-D6FC-4f65-9D91-7224C49458BB}"/>
          </c:extLst>
        </c:dLbl>
      </c:pivotFmt>
      <c:pivotFmt>
        <c:idx val="27"/>
        <c:dLbl>
          <c:idx val="0"/>
          <c:showLegendKey val="0"/>
          <c:showVal val="0"/>
          <c:showCatName val="0"/>
          <c:showSerName val="0"/>
          <c:showPercent val="1"/>
          <c:showBubbleSize val="0"/>
          <c:extLst>
            <c:ext xmlns:c15="http://schemas.microsoft.com/office/drawing/2012/chart" uri="{CE6537A1-D6FC-4f65-9D91-7224C49458BB}"/>
          </c:extLst>
        </c:dLbl>
      </c:pivotFmt>
      <c:pivotFmt>
        <c:idx val="28"/>
        <c:spPr>
          <a:solidFill>
            <a:schemeClr val="accent1"/>
          </a:solidFill>
          <a:ln>
            <a:noFill/>
          </a:ln>
          <a:effectLst>
            <a:outerShdw blurRad="254000" sx="102000" sy="102000" algn="ctr" rotWithShape="0">
              <a:prstClr val="black">
                <a:alpha val="20000"/>
              </a:prstClr>
            </a:outerShdw>
          </a:effectLst>
        </c:spPr>
        <c:marker>
          <c:spPr>
            <a:solidFill>
              <a:schemeClr val="accent1">
                <a:alpha val="85000"/>
              </a:schemeClr>
            </a:solidFill>
            <a:ln>
              <a:noFill/>
            </a:ln>
            <a:effectLst/>
          </c:spPr>
        </c:marker>
        <c:dLbl>
          <c:idx val="0"/>
          <c:showLegendKey val="0"/>
          <c:showVal val="0"/>
          <c:showCatName val="0"/>
          <c:showSerName val="0"/>
          <c:showPercent val="1"/>
          <c:showBubbleSize val="0"/>
          <c:extLst>
            <c:ext xmlns:c15="http://schemas.microsoft.com/office/drawing/2012/chart" uri="{CE6537A1-D6FC-4f65-9D91-7224C49458BB}"/>
          </c:extLst>
        </c:dLbl>
      </c:pivotFmt>
      <c:pivotFmt>
        <c:idx val="29"/>
        <c:dLbl>
          <c:idx val="0"/>
          <c:showLegendKey val="0"/>
          <c:showVal val="0"/>
          <c:showCatName val="0"/>
          <c:showSerName val="0"/>
          <c:showPercent val="1"/>
          <c:showBubbleSize val="0"/>
          <c:extLst>
            <c:ext xmlns:c15="http://schemas.microsoft.com/office/drawing/2012/chart" uri="{CE6537A1-D6FC-4f65-9D91-7224C49458BB}"/>
          </c:extLst>
        </c:dLbl>
      </c:pivotFmt>
      <c:pivotFmt>
        <c:idx val="30"/>
        <c:dLbl>
          <c:idx val="0"/>
          <c:showLegendKey val="0"/>
          <c:showVal val="0"/>
          <c:showCatName val="0"/>
          <c:showSerName val="0"/>
          <c:showPercent val="1"/>
          <c:showBubbleSize val="0"/>
          <c:extLst>
            <c:ext xmlns:c15="http://schemas.microsoft.com/office/drawing/2012/chart" uri="{CE6537A1-D6FC-4f65-9D91-7224C49458BB}"/>
          </c:extLst>
        </c:dLbl>
      </c:pivotFmt>
      <c:pivotFmt>
        <c:idx val="31"/>
        <c:dLbl>
          <c:idx val="0"/>
          <c:showLegendKey val="0"/>
          <c:showVal val="0"/>
          <c:showCatName val="0"/>
          <c:showSerName val="0"/>
          <c:showPercent val="1"/>
          <c:showBubbleSize val="0"/>
          <c:extLst>
            <c:ext xmlns:c15="http://schemas.microsoft.com/office/drawing/2012/chart" uri="{CE6537A1-D6FC-4f65-9D91-7224C49458BB}"/>
          </c:extLst>
        </c:dLbl>
      </c:pivotFmt>
      <c:pivotFmt>
        <c:idx val="32"/>
        <c:spPr>
          <a:solidFill>
            <a:schemeClr val="accent1"/>
          </a:solidFill>
          <a:ln>
            <a:noFill/>
          </a:ln>
          <a:effectLst>
            <a:outerShdw blurRad="254000" sx="102000" sy="102000" algn="ctr" rotWithShape="0">
              <a:prstClr val="black">
                <a:alpha val="20000"/>
              </a:prstClr>
            </a:outerShdw>
          </a:effectLst>
        </c:spPr>
        <c:marker>
          <c:spPr>
            <a:solidFill>
              <a:schemeClr val="accent1">
                <a:alpha val="85000"/>
              </a:schemeClr>
            </a:solidFill>
            <a:ln>
              <a:noFill/>
            </a:ln>
            <a:effectLst/>
          </c:spPr>
        </c:marker>
        <c:dLbl>
          <c:idx val="0"/>
          <c:showLegendKey val="0"/>
          <c:showVal val="0"/>
          <c:showCatName val="0"/>
          <c:showSerName val="0"/>
          <c:showPercent val="1"/>
          <c:showBubbleSize val="0"/>
          <c:extLst>
            <c:ext xmlns:c15="http://schemas.microsoft.com/office/drawing/2012/chart" uri="{CE6537A1-D6FC-4f65-9D91-7224C49458BB}"/>
          </c:extLst>
        </c:dLbl>
      </c:pivotFmt>
      <c:pivotFmt>
        <c:idx val="33"/>
        <c:dLbl>
          <c:idx val="0"/>
          <c:layout>
            <c:manualLayout>
              <c:x val="2.7056291466562844E-2"/>
              <c:y val="-3.7589450409789733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4"/>
      </c:pivotFmt>
      <c:pivotFmt>
        <c:idx val="35"/>
      </c:pivotFmt>
      <c:pivotFmt>
        <c:idx val="36"/>
        <c:dLbl>
          <c:idx val="0"/>
          <c:showLegendKey val="0"/>
          <c:showVal val="0"/>
          <c:showCatName val="0"/>
          <c:showSerName val="0"/>
          <c:showPercent val="1"/>
          <c:showBubbleSize val="0"/>
          <c:extLst>
            <c:ext xmlns:c15="http://schemas.microsoft.com/office/drawing/2012/chart" uri="{CE6537A1-D6FC-4f65-9D91-7224C49458BB}"/>
          </c:extLst>
        </c:dLbl>
      </c:pivotFmt>
      <c:pivotFmt>
        <c:idx val="37"/>
        <c:dLbl>
          <c:idx val="0"/>
          <c:layout>
            <c:manualLayout>
              <c:x val="3.0555745656432588E-2"/>
              <c:y val="0"/>
            </c:manualLayout>
          </c:layout>
          <c:showLegendKey val="0"/>
          <c:showVal val="0"/>
          <c:showCatName val="0"/>
          <c:showSerName val="0"/>
          <c:showPercent val="1"/>
          <c:showBubbleSize val="0"/>
          <c:extLst>
            <c:ext xmlns:c15="http://schemas.microsoft.com/office/drawing/2012/chart" uri="{CE6537A1-D6FC-4f65-9D91-7224C49458BB}"/>
          </c:extLst>
        </c:dLbl>
      </c:pivotFmt>
      <c:pivotFmt>
        <c:idx val="38"/>
        <c:dLbl>
          <c:idx val="0"/>
          <c:layout>
            <c:manualLayout>
              <c:x val="3.7455191847262176E-2"/>
              <c:y val="-5.1226284650346321E-3"/>
            </c:manualLayout>
          </c:layout>
          <c:showLegendKey val="0"/>
          <c:showVal val="0"/>
          <c:showCatName val="0"/>
          <c:showSerName val="0"/>
          <c:showPercent val="1"/>
          <c:showBubbleSize val="0"/>
          <c:extLst>
            <c:ext xmlns:c15="http://schemas.microsoft.com/office/drawing/2012/chart" uri="{CE6537A1-D6FC-4f65-9D91-7224C49458BB}"/>
          </c:extLst>
        </c:dLbl>
      </c:pivotFmt>
      <c:pivotFmt>
        <c:idx val="39"/>
        <c:dLbl>
          <c:idx val="0"/>
          <c:layout>
            <c:manualLayout>
              <c:x val="3.4050174406601977E-2"/>
              <c:y val="-5.1226284650346321E-3"/>
            </c:manualLayout>
          </c:layout>
          <c:showLegendKey val="0"/>
          <c:showVal val="0"/>
          <c:showCatName val="0"/>
          <c:showSerName val="0"/>
          <c:showPercent val="1"/>
          <c:showBubbleSize val="0"/>
          <c:extLst>
            <c:ext xmlns:c15="http://schemas.microsoft.com/office/drawing/2012/chart" uri="{CE6537A1-D6FC-4f65-9D91-7224C49458BB}"/>
          </c:extLst>
        </c:dLbl>
      </c:pivotFmt>
      <c:pivotFmt>
        <c:idx val="40"/>
      </c:pivotFmt>
      <c:pivotFmt>
        <c:idx val="41"/>
      </c:pivotFmt>
      <c:pivotFmt>
        <c:idx val="42"/>
        <c:dLbl>
          <c:idx val="0"/>
          <c:showLegendKey val="0"/>
          <c:showVal val="0"/>
          <c:showCatName val="0"/>
          <c:showSerName val="0"/>
          <c:showPercent val="1"/>
          <c:showBubbleSize val="0"/>
          <c:extLst>
            <c:ext xmlns:c15="http://schemas.microsoft.com/office/drawing/2012/chart" uri="{CE6537A1-D6FC-4f65-9D91-7224C49458BB}"/>
          </c:extLst>
        </c:dLbl>
      </c:pivotFmt>
      <c:pivotFmt>
        <c:idx val="43"/>
        <c:dLbl>
          <c:idx val="0"/>
          <c:layout>
            <c:manualLayout>
              <c:x val="-3.0444116534644499E-2"/>
              <c:y val="-1.5759293950540636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4"/>
        <c:dLbl>
          <c:idx val="0"/>
          <c:layout>
            <c:manualLayout>
              <c:x val="0.12840366605345824"/>
              <c:y val="3.0099987493875074E-2"/>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w="31750">
            <a:noFill/>
            <a:round/>
          </a:ln>
          <a:effectLst>
            <a:outerShdw blurRad="254000" sx="102000" sy="102000" algn="ctr" rotWithShape="0">
              <a:prstClr val="black">
                <a:alpha val="20000"/>
              </a:prstClr>
            </a:outerShdw>
          </a:effectLst>
        </c:spPr>
      </c:pivotFmt>
      <c:pivotFmt>
        <c:idx val="4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8"/>
        <c:spPr>
          <a:solidFill>
            <a:schemeClr val="accent1"/>
          </a:solidFill>
          <a:ln>
            <a:noFill/>
          </a:ln>
          <a:effectLst>
            <a:outerShdw blurRad="254000" sx="102000" sy="102000" algn="ctr" rotWithShape="0">
              <a:prstClr val="black">
                <a:alpha val="20000"/>
              </a:prstClr>
            </a:outerShdw>
          </a:effectLst>
        </c:spPr>
      </c:pivotFmt>
      <c:pivotFmt>
        <c:idx val="49"/>
        <c:spPr>
          <a:solidFill>
            <a:schemeClr val="accent1"/>
          </a:solidFill>
          <a:ln>
            <a:noFill/>
          </a:ln>
          <a:effectLst>
            <a:outerShdw blurRad="254000" sx="102000" sy="102000" algn="ctr" rotWithShape="0">
              <a:prstClr val="black">
                <a:alpha val="20000"/>
              </a:prstClr>
            </a:outerShdw>
          </a:effectLst>
        </c:spPr>
      </c:pivotFmt>
      <c:pivotFmt>
        <c:idx val="50"/>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5.5356374090104875E-2"/>
          <c:y val="0.20721370981338905"/>
          <c:w val="0.5090881792272488"/>
          <c:h val="0.76589023215590868"/>
        </c:manualLayout>
      </c:layout>
      <c:doughnutChart>
        <c:varyColors val="1"/>
        <c:ser>
          <c:idx val="0"/>
          <c:order val="0"/>
          <c:tx>
            <c:strRef>
              <c:f>Pivot!$B$11:$B$13</c:f>
              <c:strCache>
                <c:ptCount val="1"/>
                <c:pt idx="0">
                  <c:v>2024 - March</c:v>
                </c:pt>
              </c:strCache>
            </c:strRef>
          </c:tx>
          <c:dPt>
            <c:idx val="0"/>
            <c:bubble3D val="0"/>
            <c:explosion val="29"/>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A50-E149-A6AA-7F70221B5323}"/>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A50-E149-A6AA-7F70221B5323}"/>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6B99-0244-8CDF-3FCE12E3540F}"/>
              </c:ext>
            </c:extLst>
          </c:dPt>
          <c:dLbls>
            <c:dLbl>
              <c:idx val="1"/>
              <c:layout>
                <c:manualLayout>
                  <c:x val="0"/>
                  <c:y val="-0.1402264725006441"/>
                </c:manualLayout>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A50-E149-A6AA-7F70221B5323}"/>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ln>
                      <a:noFill/>
                    </a:ln>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Pivot!$A$14:$A$16</c:f>
              <c:strCache>
                <c:ptCount val="3"/>
                <c:pt idx="0">
                  <c:v>Automatic Interest Deducation</c:v>
                </c:pt>
                <c:pt idx="1">
                  <c:v>Remaining Interest</c:v>
                </c:pt>
                <c:pt idx="2">
                  <c:v>Total Principal </c:v>
                </c:pt>
              </c:strCache>
            </c:strRef>
          </c:cat>
          <c:val>
            <c:numRef>
              <c:f>Pivot!$B$14:$B$16</c:f>
              <c:numCache>
                <c:formatCode>General</c:formatCode>
                <c:ptCount val="3"/>
                <c:pt idx="0">
                  <c:v>6180</c:v>
                </c:pt>
                <c:pt idx="1">
                  <c:v>46082.865436</c:v>
                </c:pt>
                <c:pt idx="2">
                  <c:v>1545312</c:v>
                </c:pt>
              </c:numCache>
            </c:numRef>
          </c:val>
          <c:extLst>
            <c:ext xmlns:c16="http://schemas.microsoft.com/office/drawing/2014/chart" uri="{C3380CC4-5D6E-409C-BE32-E72D297353CC}">
              <c16:uniqueId val="{00000004-EA50-E149-A6AA-7F70221B5323}"/>
            </c:ext>
          </c:extLst>
        </c:ser>
        <c:dLbls>
          <c:showLegendKey val="0"/>
          <c:showVal val="0"/>
          <c:showCatName val="0"/>
          <c:showSerName val="0"/>
          <c:showPercent val="1"/>
          <c:showBubbleSize val="0"/>
          <c:showLeaderLines val="1"/>
        </c:dLbls>
        <c:firstSliceAng val="61"/>
        <c:holeSize val="61"/>
      </c:doughnutChart>
      <c:spPr>
        <a:noFill/>
        <a:ln>
          <a:noFill/>
        </a:ln>
        <a:effectLst/>
      </c:spPr>
    </c:plotArea>
    <c:legend>
      <c:legendPos val="r"/>
      <c:layout>
        <c:manualLayout>
          <c:xMode val="edge"/>
          <c:yMode val="edge"/>
          <c:x val="0.52361271386618824"/>
          <c:y val="0.72605525373058588"/>
          <c:w val="0.47307594798980113"/>
          <c:h val="0.27223322604090089"/>
        </c:manualLayout>
      </c:layout>
      <c:overlay val="0"/>
      <c:spPr>
        <a:noFill/>
        <a:ln>
          <a:noFill/>
        </a:ln>
        <a:effectLst/>
      </c:spPr>
      <c:txPr>
        <a:bodyPr rot="0" spcFirstLastPara="1" vertOverflow="ellipsis" vert="horz" wrap="square" anchor="ctr" anchorCtr="1"/>
        <a:lstStyle/>
        <a:p>
          <a:pPr>
            <a:defRPr sz="900" b="0" i="0" u="none" strike="noStrike" kern="1200" baseline="0">
              <a:ln>
                <a:noFill/>
              </a:ln>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50000"/>
      </a:schemeClr>
    </a:solidFill>
    <a:ln w="9525" cap="flat" cmpd="sng" algn="ctr">
      <a:noFill/>
      <a:round/>
    </a:ln>
    <a:effectLst/>
  </c:spPr>
  <c:txPr>
    <a:bodyPr/>
    <a:lstStyle/>
    <a:p>
      <a:pPr>
        <a:defRPr>
          <a:ln>
            <a:noFill/>
          </a:ln>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[Dashboard.xlsm]Pivot!PivotTable9</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Interest</a:t>
            </a:r>
            <a:r>
              <a:rPr lang="en-US" baseline="0"/>
              <a:t> Charges over Months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Pivot!$G$11</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Pivot!$F$12:$F$25</c:f>
              <c:multiLvlStrCache>
                <c:ptCount val="12"/>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lvl>
                <c:lvl>
                  <c:pt idx="0">
                    <c:v>2024</c:v>
                  </c:pt>
                </c:lvl>
              </c:multiLvlStrCache>
            </c:multiLvlStrRef>
          </c:cat>
          <c:val>
            <c:numRef>
              <c:f>Pivot!$G$12:$G$25</c:f>
              <c:numCache>
                <c:formatCode>[$₹-4009]\ #,##0.00</c:formatCode>
                <c:ptCount val="12"/>
                <c:pt idx="0">
                  <c:v>15491</c:v>
                </c:pt>
                <c:pt idx="1">
                  <c:v>15631</c:v>
                </c:pt>
                <c:pt idx="2">
                  <c:v>15772</c:v>
                </c:pt>
                <c:pt idx="3">
                  <c:v>15914</c:v>
                </c:pt>
                <c:pt idx="4">
                  <c:v>16058</c:v>
                </c:pt>
                <c:pt idx="5">
                  <c:v>16203</c:v>
                </c:pt>
                <c:pt idx="6">
                  <c:v>16349</c:v>
                </c:pt>
                <c:pt idx="7">
                  <c:v>16497</c:v>
                </c:pt>
                <c:pt idx="8">
                  <c:v>16647</c:v>
                </c:pt>
                <c:pt idx="9">
                  <c:v>16798</c:v>
                </c:pt>
                <c:pt idx="10">
                  <c:v>17233</c:v>
                </c:pt>
                <c:pt idx="11">
                  <c:v>17392</c:v>
                </c:pt>
              </c:numCache>
            </c:numRef>
          </c:val>
          <c:extLst>
            <c:ext xmlns:c16="http://schemas.microsoft.com/office/drawing/2014/chart" uri="{C3380CC4-5D6E-409C-BE32-E72D297353CC}">
              <c16:uniqueId val="{00000001-70A6-6E47-AEEC-9AE152BAE16B}"/>
            </c:ext>
          </c:extLst>
        </c:ser>
        <c:dLbls>
          <c:dLblPos val="outEnd"/>
          <c:showLegendKey val="0"/>
          <c:showVal val="1"/>
          <c:showCatName val="0"/>
          <c:showSerName val="0"/>
          <c:showPercent val="0"/>
          <c:showBubbleSize val="0"/>
        </c:dLbls>
        <c:gapWidth val="115"/>
        <c:overlap val="-20"/>
        <c:axId val="350118256"/>
        <c:axId val="2030917520"/>
      </c:barChart>
      <c:catAx>
        <c:axId val="350118256"/>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30917520"/>
        <c:crosses val="autoZero"/>
        <c:auto val="1"/>
        <c:lblAlgn val="ctr"/>
        <c:lblOffset val="100"/>
        <c:noMultiLvlLbl val="0"/>
      </c:catAx>
      <c:valAx>
        <c:axId val="2030917520"/>
        <c:scaling>
          <c:orientation val="minMax"/>
        </c:scaling>
        <c:delete val="1"/>
        <c:axPos val="b"/>
        <c:majorGridlines>
          <c:spPr>
            <a:ln w="9525" cap="flat" cmpd="sng" algn="ctr">
              <a:solidFill>
                <a:schemeClr val="lt1">
                  <a:lumMod val="95000"/>
                  <a:alpha val="10000"/>
                </a:schemeClr>
              </a:solidFill>
              <a:round/>
            </a:ln>
            <a:effectLst/>
          </c:spPr>
        </c:majorGridlines>
        <c:numFmt formatCode="[$₹-4009]\ #,##0.00" sourceLinked="1"/>
        <c:majorTickMark val="none"/>
        <c:minorTickMark val="none"/>
        <c:tickLblPos val="nextTo"/>
        <c:crossAx val="3501182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[Dashboard.xlsm]Pivot!PivotTable8</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600" b="1" i="0" u="none" strike="noStrike" baseline="0">
                <a:effectLst>
                  <a:outerShdw blurRad="50800" dist="38100" dir="5400000" algn="t" rotWithShape="0">
                    <a:prstClr val="black">
                      <a:alpha val="40000"/>
                    </a:prstClr>
                  </a:outerShdw>
                </a:effectLst>
              </a:rPr>
              <a:t>Loan Disbursed</a:t>
            </a:r>
            <a:endParaRPr lang="en-US"/>
          </a:p>
        </c:rich>
      </c:tx>
      <c:layout>
        <c:manualLayout>
          <c:xMode val="edge"/>
          <c:yMode val="edge"/>
          <c:x val="0.28156089963086295"/>
          <c:y val="0"/>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Pivot!$J$11</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Pivot!$I$12:$I$16</c:f>
              <c:strCache>
                <c:ptCount val="4"/>
                <c:pt idx="0">
                  <c:v>2023</c:v>
                </c:pt>
                <c:pt idx="1">
                  <c:v>2024</c:v>
                </c:pt>
                <c:pt idx="2">
                  <c:v>2025</c:v>
                </c:pt>
                <c:pt idx="3">
                  <c:v>2026</c:v>
                </c:pt>
              </c:strCache>
            </c:strRef>
          </c:cat>
          <c:val>
            <c:numRef>
              <c:f>Pivot!$J$12:$J$16</c:f>
              <c:numCache>
                <c:formatCode>[$₹-4009]\ #,##0</c:formatCode>
                <c:ptCount val="4"/>
                <c:pt idx="0">
                  <c:v>1545312</c:v>
                </c:pt>
                <c:pt idx="1">
                  <c:v>0</c:v>
                </c:pt>
                <c:pt idx="2">
                  <c:v>2000000</c:v>
                </c:pt>
                <c:pt idx="3">
                  <c:v>0</c:v>
                </c:pt>
              </c:numCache>
            </c:numRef>
          </c:val>
          <c:extLst>
            <c:ext xmlns:c16="http://schemas.microsoft.com/office/drawing/2014/chart" uri="{C3380CC4-5D6E-409C-BE32-E72D297353CC}">
              <c16:uniqueId val="{00000000-1B58-B74A-A017-CADC40768ADD}"/>
            </c:ext>
          </c:extLst>
        </c:ser>
        <c:dLbls>
          <c:showLegendKey val="0"/>
          <c:showVal val="0"/>
          <c:showCatName val="0"/>
          <c:showSerName val="0"/>
          <c:showPercent val="0"/>
          <c:showBubbleSize val="0"/>
        </c:dLbls>
        <c:gapWidth val="229"/>
        <c:overlap val="-24"/>
        <c:axId val="1541511904"/>
        <c:axId val="1541738256"/>
      </c:barChart>
      <c:catAx>
        <c:axId val="154151190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41738256"/>
        <c:crosses val="autoZero"/>
        <c:auto val="1"/>
        <c:lblAlgn val="ctr"/>
        <c:lblOffset val="100"/>
        <c:noMultiLvlLbl val="0"/>
      </c:catAx>
      <c:valAx>
        <c:axId val="1541738256"/>
        <c:scaling>
          <c:orientation val="minMax"/>
        </c:scaling>
        <c:delete val="0"/>
        <c:axPos val="l"/>
        <c:numFmt formatCode="[$₹-4009]\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41511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[Dashboard.xlsm]Pivot!PivotTable10</c:name>
    <c:fmtId val="12"/>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500" b="1" i="0" u="none" strike="noStrike" kern="1200" cap="all" spc="100" normalizeH="0" baseline="0">
                <a:solidFill>
                  <a:sysClr val="window" lastClr="FFFFFF"/>
                </a:solidFill>
                <a:latin typeface="+mn-lt"/>
                <a:ea typeface="+mn-ea"/>
                <a:cs typeface="+mn-cs"/>
              </a:defRPr>
            </a:pPr>
            <a:r>
              <a:rPr lang="en-US" sz="1400" b="1" i="0" u="none" strike="noStrike" kern="1200" cap="all" spc="100" normalizeH="0" baseline="0">
                <a:solidFill>
                  <a:sysClr val="window" lastClr="FFFFFF"/>
                </a:solidFill>
              </a:rPr>
              <a:t>Total Outstanding by year with Auto - interest payment</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 lastClr="FFFFFF"/>
                </a:solidFill>
              </a:defRPr>
            </a:pPr>
            <a:endParaRPr lang="en-US"/>
          </a:p>
        </c:rich>
      </c:tx>
      <c:layout>
        <c:manualLayout>
          <c:xMode val="edge"/>
          <c:yMode val="edge"/>
          <c:x val="9.4137804578722201E-2"/>
          <c:y val="0"/>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500" b="1" i="0" u="none" strike="noStrike" kern="1200" cap="all" spc="100" normalizeH="0" baseline="0">
              <a:solidFill>
                <a:sysClr val="window" lastClr="FFFFFF"/>
              </a:solidFill>
              <a:latin typeface="+mn-lt"/>
              <a:ea typeface="+mn-ea"/>
              <a:cs typeface="+mn-cs"/>
            </a:defRPr>
          </a:pPr>
          <a:endParaRPr lang="en-US"/>
        </a:p>
      </c:txPr>
    </c:title>
    <c:autoTitleDeleted val="0"/>
    <c:pivotFmts>
      <c:pivotFmt>
        <c:idx val="0"/>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pattFill prst="ltUpDiag">
            <a:fgClr>
              <a:schemeClr val="accent1"/>
            </a:fgClr>
            <a:bgClr>
              <a:schemeClr val="lt1"/>
            </a:bgClr>
          </a:pattFill>
          <a:ln w="25400" cap="rnd">
            <a:solidFill>
              <a:schemeClr val="lt1"/>
            </a:solidFill>
            <a:round/>
          </a:ln>
          <a:effectLst>
            <a:outerShdw dist="25400" dir="2700000" algn="tl" rotWithShape="0">
              <a:schemeClr val="accent1"/>
            </a:outerShdw>
          </a:effectLst>
        </c:spPr>
        <c:marker>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3555939880177888E-3"/>
          <c:y val="5.4407326757887335E-2"/>
          <c:w val="0.99164443584301998"/>
          <c:h val="0.73972239047042199"/>
        </c:manualLayout>
      </c:layout>
      <c:lineChart>
        <c:grouping val="standard"/>
        <c:varyColors val="0"/>
        <c:ser>
          <c:idx val="0"/>
          <c:order val="0"/>
          <c:tx>
            <c:strRef>
              <c:f>Pivot!$M$11</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Pivot!$L$12:$L$16</c:f>
              <c:strCache>
                <c:ptCount val="4"/>
                <c:pt idx="0">
                  <c:v>2023</c:v>
                </c:pt>
                <c:pt idx="1">
                  <c:v>2024</c:v>
                </c:pt>
                <c:pt idx="2">
                  <c:v>2025</c:v>
                </c:pt>
                <c:pt idx="3">
                  <c:v>2026</c:v>
                </c:pt>
              </c:strCache>
            </c:strRef>
          </c:cat>
          <c:val>
            <c:numRef>
              <c:f>Pivot!$M$12:$M$16</c:f>
              <c:numCache>
                <c:formatCode>[$₹-4009]\ #,##0.00</c:formatCode>
                <c:ptCount val="4"/>
                <c:pt idx="0">
                  <c:v>1549136</c:v>
                </c:pt>
                <c:pt idx="1">
                  <c:v>1726581</c:v>
                </c:pt>
                <c:pt idx="2">
                  <c:v>4144198</c:v>
                </c:pt>
                <c:pt idx="3">
                  <c:v>4634040</c:v>
                </c:pt>
              </c:numCache>
            </c:numRef>
          </c:val>
          <c:smooth val="0"/>
          <c:extLst>
            <c:ext xmlns:c16="http://schemas.microsoft.com/office/drawing/2014/chart" uri="{C3380CC4-5D6E-409C-BE32-E72D297353CC}">
              <c16:uniqueId val="{00000000-935D-F94A-A30C-512A73C18C76}"/>
            </c:ext>
          </c:extLst>
        </c:ser>
        <c:dLbls>
          <c:dLblPos val="t"/>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554756080"/>
        <c:axId val="840216976"/>
      </c:lineChart>
      <c:catAx>
        <c:axId val="15547560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en-US"/>
          </a:p>
        </c:txPr>
        <c:crossAx val="840216976"/>
        <c:crosses val="autoZero"/>
        <c:auto val="1"/>
        <c:lblAlgn val="ctr"/>
        <c:lblOffset val="100"/>
        <c:noMultiLvlLbl val="0"/>
      </c:catAx>
      <c:valAx>
        <c:axId val="840216976"/>
        <c:scaling>
          <c:orientation val="minMax"/>
        </c:scaling>
        <c:delete val="1"/>
        <c:axPos val="l"/>
        <c:numFmt formatCode="[$₹-4009]\ #,##0.00" sourceLinked="1"/>
        <c:majorTickMark val="none"/>
        <c:minorTickMark val="none"/>
        <c:tickLblPos val="nextTo"/>
        <c:crossAx val="15547560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Scroll" dx="15" fmlaLink="Combine_35Lakhs!$P$2" horiz="1" inc="1000" max="30000" min="1000" page="10" val="4000"/>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9.png"/><Relationship Id="rId18" Type="http://schemas.openxmlformats.org/officeDocument/2006/relationships/chart" Target="../charts/chart5.xml"/><Relationship Id="rId3" Type="http://schemas.microsoft.com/office/2007/relationships/hdphoto" Target="../media/hdphoto1.wdp"/><Relationship Id="rId21" Type="http://schemas.openxmlformats.org/officeDocument/2006/relationships/image" Target="../media/image12.svg"/><Relationship Id="rId7" Type="http://schemas.openxmlformats.org/officeDocument/2006/relationships/image" Target="../media/image4.svg"/><Relationship Id="rId12" Type="http://schemas.openxmlformats.org/officeDocument/2006/relationships/image" Target="../media/image8.png"/><Relationship Id="rId17" Type="http://schemas.openxmlformats.org/officeDocument/2006/relationships/chart" Target="../charts/chart4.xml"/><Relationship Id="rId2" Type="http://schemas.openxmlformats.org/officeDocument/2006/relationships/image" Target="../media/image1.png"/><Relationship Id="rId16" Type="http://schemas.openxmlformats.org/officeDocument/2006/relationships/chart" Target="../charts/chart3.xml"/><Relationship Id="rId20" Type="http://schemas.openxmlformats.org/officeDocument/2006/relationships/image" Target="../media/image11.png"/><Relationship Id="rId1" Type="http://schemas.openxmlformats.org/officeDocument/2006/relationships/chart" Target="../charts/chart1.xml"/><Relationship Id="rId6" Type="http://schemas.openxmlformats.org/officeDocument/2006/relationships/image" Target="../media/image3.png"/><Relationship Id="rId11" Type="http://schemas.openxmlformats.org/officeDocument/2006/relationships/image" Target="../media/image7.svg"/><Relationship Id="rId5" Type="http://schemas.microsoft.com/office/2007/relationships/hdphoto" Target="../media/hdphoto2.wdp"/><Relationship Id="rId15" Type="http://schemas.openxmlformats.org/officeDocument/2006/relationships/chart" Target="../charts/chart2.xml"/><Relationship Id="rId10" Type="http://schemas.openxmlformats.org/officeDocument/2006/relationships/image" Target="../media/image6.png"/><Relationship Id="rId19" Type="http://schemas.openxmlformats.org/officeDocument/2006/relationships/chart" Target="../charts/chart6.xml"/><Relationship Id="rId4" Type="http://schemas.openxmlformats.org/officeDocument/2006/relationships/image" Target="../media/image2.png"/><Relationship Id="rId9" Type="http://schemas.microsoft.com/office/2007/relationships/hdphoto" Target="../media/hdphoto3.wdp"/><Relationship Id="rId14" Type="http://schemas.openxmlformats.org/officeDocument/2006/relationships/image" Target="../media/image10.svg"/></Relationships>
</file>

<file path=xl/drawings/drawing1.xml><?xml version="1.0" encoding="utf-8"?>
<xdr:wsDr xmlns:xdr="http://schemas.openxmlformats.org/drawingml/2006/spreadsheetDrawing" xmlns:a="http://schemas.openxmlformats.org/drawingml/2006/main">
  <xdr:twoCellAnchor>
    <xdr:from>
      <xdr:col>10</xdr:col>
      <xdr:colOff>809625</xdr:colOff>
      <xdr:row>13</xdr:row>
      <xdr:rowOff>71296</xdr:rowOff>
    </xdr:from>
    <xdr:to>
      <xdr:col>19</xdr:col>
      <xdr:colOff>122410</xdr:colOff>
      <xdr:row>24</xdr:row>
      <xdr:rowOff>122755</xdr:rowOff>
    </xdr:to>
    <xdr:sp macro="" textlink="">
      <xdr:nvSpPr>
        <xdr:cNvPr id="31" name="Rounded Rectangle 30">
          <a:extLst>
            <a:ext uri="{FF2B5EF4-FFF2-40B4-BE49-F238E27FC236}">
              <a16:creationId xmlns:a16="http://schemas.microsoft.com/office/drawing/2014/main" id="{E67B36A6-FEB7-4124-132B-FEC36087BF3A}"/>
            </a:ext>
          </a:extLst>
        </xdr:cNvPr>
        <xdr:cNvSpPr/>
      </xdr:nvSpPr>
      <xdr:spPr>
        <a:xfrm>
          <a:off x="10296372" y="3055031"/>
          <a:ext cx="7850857" cy="2576158"/>
        </a:xfrm>
        <a:prstGeom prst="roundRect">
          <a:avLst>
            <a:gd name="adj" fmla="val 7876"/>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889960</xdr:colOff>
      <xdr:row>13</xdr:row>
      <xdr:rowOff>131169</xdr:rowOff>
    </xdr:from>
    <xdr:to>
      <xdr:col>19</xdr:col>
      <xdr:colOff>134310</xdr:colOff>
      <xdr:row>24</xdr:row>
      <xdr:rowOff>66446</xdr:rowOff>
    </xdr:to>
    <xdr:graphicFrame macro="">
      <xdr:nvGraphicFramePr>
        <xdr:cNvPr id="41" name="Chart 40">
          <a:extLst>
            <a:ext uri="{FF2B5EF4-FFF2-40B4-BE49-F238E27FC236}">
              <a16:creationId xmlns:a16="http://schemas.microsoft.com/office/drawing/2014/main" id="{E43C1F24-EE12-1E48-92FD-A2E7265B3A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58390</xdr:colOff>
      <xdr:row>0</xdr:row>
      <xdr:rowOff>43791</xdr:rowOff>
    </xdr:from>
    <xdr:to>
      <xdr:col>19</xdr:col>
      <xdr:colOff>89647</xdr:colOff>
      <xdr:row>7</xdr:row>
      <xdr:rowOff>190500</xdr:rowOff>
    </xdr:to>
    <xdr:sp macro="" textlink="">
      <xdr:nvSpPr>
        <xdr:cNvPr id="20" name="Rounded Rectangle 19">
          <a:extLst>
            <a:ext uri="{FF2B5EF4-FFF2-40B4-BE49-F238E27FC236}">
              <a16:creationId xmlns:a16="http://schemas.microsoft.com/office/drawing/2014/main" id="{B2E4CE1D-B894-9F22-14AF-77DC8920601A}"/>
            </a:ext>
          </a:extLst>
        </xdr:cNvPr>
        <xdr:cNvSpPr/>
      </xdr:nvSpPr>
      <xdr:spPr>
        <a:xfrm>
          <a:off x="58390" y="43791"/>
          <a:ext cx="18172790" cy="1768972"/>
        </a:xfrm>
        <a:prstGeom prst="roundRect">
          <a:avLst>
            <a:gd name="adj" fmla="val 7876"/>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58390</xdr:colOff>
      <xdr:row>8</xdr:row>
      <xdr:rowOff>43791</xdr:rowOff>
    </xdr:from>
    <xdr:to>
      <xdr:col>2</xdr:col>
      <xdr:colOff>492125</xdr:colOff>
      <xdr:row>15</xdr:row>
      <xdr:rowOff>190500</xdr:rowOff>
    </xdr:to>
    <xdr:sp macro="" textlink="">
      <xdr:nvSpPr>
        <xdr:cNvPr id="21" name="Rounded Rectangle 20">
          <a:extLst>
            <a:ext uri="{FF2B5EF4-FFF2-40B4-BE49-F238E27FC236}">
              <a16:creationId xmlns:a16="http://schemas.microsoft.com/office/drawing/2014/main" id="{D75D1559-0877-89AD-270C-3CBBB40E3C63}"/>
            </a:ext>
          </a:extLst>
        </xdr:cNvPr>
        <xdr:cNvSpPr/>
      </xdr:nvSpPr>
      <xdr:spPr>
        <a:xfrm>
          <a:off x="58390" y="1700313"/>
          <a:ext cx="2090257" cy="1596165"/>
        </a:xfrm>
        <a:prstGeom prst="roundRect">
          <a:avLst>
            <a:gd name="adj" fmla="val 7876"/>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58390</xdr:colOff>
      <xdr:row>16</xdr:row>
      <xdr:rowOff>37440</xdr:rowOff>
    </xdr:from>
    <xdr:to>
      <xdr:col>2</xdr:col>
      <xdr:colOff>492125</xdr:colOff>
      <xdr:row>47</xdr:row>
      <xdr:rowOff>111125</xdr:rowOff>
    </xdr:to>
    <xdr:sp macro="" textlink="">
      <xdr:nvSpPr>
        <xdr:cNvPr id="22" name="Rounded Rectangle 21">
          <a:extLst>
            <a:ext uri="{FF2B5EF4-FFF2-40B4-BE49-F238E27FC236}">
              <a16:creationId xmlns:a16="http://schemas.microsoft.com/office/drawing/2014/main" id="{C207F913-44DB-F20E-3AC5-C6855A39C628}"/>
            </a:ext>
          </a:extLst>
        </xdr:cNvPr>
        <xdr:cNvSpPr/>
      </xdr:nvSpPr>
      <xdr:spPr>
        <a:xfrm>
          <a:off x="58390" y="3288640"/>
          <a:ext cx="2084735" cy="6372885"/>
        </a:xfrm>
        <a:prstGeom prst="roundRect">
          <a:avLst>
            <a:gd name="adj" fmla="val 7876"/>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542696</xdr:colOff>
      <xdr:row>8</xdr:row>
      <xdr:rowOff>38225</xdr:rowOff>
    </xdr:from>
    <xdr:to>
      <xdr:col>5</xdr:col>
      <xdr:colOff>745388</xdr:colOff>
      <xdr:row>13</xdr:row>
      <xdr:rowOff>22350</xdr:rowOff>
    </xdr:to>
    <xdr:sp macro="" textlink="">
      <xdr:nvSpPr>
        <xdr:cNvPr id="23" name="Rounded Rectangle 22">
          <a:extLst>
            <a:ext uri="{FF2B5EF4-FFF2-40B4-BE49-F238E27FC236}">
              <a16:creationId xmlns:a16="http://schemas.microsoft.com/office/drawing/2014/main" id="{0ADE631C-BB9C-08A7-017D-59ACC0E89862}"/>
            </a:ext>
          </a:extLst>
        </xdr:cNvPr>
        <xdr:cNvSpPr/>
      </xdr:nvSpPr>
      <xdr:spPr>
        <a:xfrm>
          <a:off x="2202163" y="1663825"/>
          <a:ext cx="2691892" cy="1000125"/>
        </a:xfrm>
        <a:prstGeom prst="roundRect">
          <a:avLst>
            <a:gd name="adj" fmla="val 15389"/>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795959</xdr:colOff>
      <xdr:row>8</xdr:row>
      <xdr:rowOff>27093</xdr:rowOff>
    </xdr:from>
    <xdr:to>
      <xdr:col>9</xdr:col>
      <xdr:colOff>173151</xdr:colOff>
      <xdr:row>13</xdr:row>
      <xdr:rowOff>11218</xdr:rowOff>
    </xdr:to>
    <xdr:sp macro="" textlink="">
      <xdr:nvSpPr>
        <xdr:cNvPr id="24" name="Rounded Rectangle 23">
          <a:extLst>
            <a:ext uri="{FF2B5EF4-FFF2-40B4-BE49-F238E27FC236}">
              <a16:creationId xmlns:a16="http://schemas.microsoft.com/office/drawing/2014/main" id="{CDA22671-651A-6136-B684-33F32D01A57E}"/>
            </a:ext>
          </a:extLst>
        </xdr:cNvPr>
        <xdr:cNvSpPr/>
      </xdr:nvSpPr>
      <xdr:spPr>
        <a:xfrm>
          <a:off x="4937263" y="1683615"/>
          <a:ext cx="2690236" cy="1019451"/>
        </a:xfrm>
        <a:prstGeom prst="roundRect">
          <a:avLst>
            <a:gd name="adj" fmla="val 15389"/>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223722</xdr:colOff>
      <xdr:row>8</xdr:row>
      <xdr:rowOff>27608</xdr:rowOff>
    </xdr:from>
    <xdr:to>
      <xdr:col>12</xdr:col>
      <xdr:colOff>426414</xdr:colOff>
      <xdr:row>13</xdr:row>
      <xdr:rowOff>13844</xdr:rowOff>
    </xdr:to>
    <xdr:sp macro="" textlink="">
      <xdr:nvSpPr>
        <xdr:cNvPr id="25" name="Rounded Rectangle 24">
          <a:extLst>
            <a:ext uri="{FF2B5EF4-FFF2-40B4-BE49-F238E27FC236}">
              <a16:creationId xmlns:a16="http://schemas.microsoft.com/office/drawing/2014/main" id="{75533224-FEC7-3A32-3AB3-64EB03A25950}"/>
            </a:ext>
          </a:extLst>
        </xdr:cNvPr>
        <xdr:cNvSpPr/>
      </xdr:nvSpPr>
      <xdr:spPr>
        <a:xfrm>
          <a:off x="7678070" y="1684130"/>
          <a:ext cx="2687474" cy="1021562"/>
        </a:xfrm>
        <a:prstGeom prst="roundRect">
          <a:avLst>
            <a:gd name="adj" fmla="val 15389"/>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476985</xdr:colOff>
      <xdr:row>8</xdr:row>
      <xdr:rowOff>21527</xdr:rowOff>
    </xdr:from>
    <xdr:to>
      <xdr:col>15</xdr:col>
      <xdr:colOff>679677</xdr:colOff>
      <xdr:row>13</xdr:row>
      <xdr:rowOff>5652</xdr:rowOff>
    </xdr:to>
    <xdr:sp macro="" textlink="">
      <xdr:nvSpPr>
        <xdr:cNvPr id="26" name="Rounded Rectangle 25">
          <a:extLst>
            <a:ext uri="{FF2B5EF4-FFF2-40B4-BE49-F238E27FC236}">
              <a16:creationId xmlns:a16="http://schemas.microsoft.com/office/drawing/2014/main" id="{5A845B48-E579-F779-60B6-0423AADAE811}"/>
            </a:ext>
          </a:extLst>
        </xdr:cNvPr>
        <xdr:cNvSpPr/>
      </xdr:nvSpPr>
      <xdr:spPr>
        <a:xfrm>
          <a:off x="11856185" y="1918060"/>
          <a:ext cx="3047492" cy="1169459"/>
        </a:xfrm>
        <a:prstGeom prst="roundRect">
          <a:avLst>
            <a:gd name="adj" fmla="val 15389"/>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730248</xdr:colOff>
      <xdr:row>8</xdr:row>
      <xdr:rowOff>35303</xdr:rowOff>
    </xdr:from>
    <xdr:to>
      <xdr:col>19</xdr:col>
      <xdr:colOff>107440</xdr:colOff>
      <xdr:row>13</xdr:row>
      <xdr:rowOff>19428</xdr:rowOff>
    </xdr:to>
    <xdr:sp macro="" textlink="">
      <xdr:nvSpPr>
        <xdr:cNvPr id="27" name="Rounded Rectangle 26">
          <a:extLst>
            <a:ext uri="{FF2B5EF4-FFF2-40B4-BE49-F238E27FC236}">
              <a16:creationId xmlns:a16="http://schemas.microsoft.com/office/drawing/2014/main" id="{B80B993C-6A92-3863-C861-A4646D9503D9}"/>
            </a:ext>
          </a:extLst>
        </xdr:cNvPr>
        <xdr:cNvSpPr/>
      </xdr:nvSpPr>
      <xdr:spPr>
        <a:xfrm>
          <a:off x="13154161" y="1691825"/>
          <a:ext cx="2690236" cy="1019451"/>
        </a:xfrm>
        <a:prstGeom prst="roundRect">
          <a:avLst>
            <a:gd name="adj" fmla="val 15389"/>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550513</xdr:colOff>
      <xdr:row>13</xdr:row>
      <xdr:rowOff>75541</xdr:rowOff>
    </xdr:from>
    <xdr:to>
      <xdr:col>6</xdr:col>
      <xdr:colOff>619124</xdr:colOff>
      <xdr:row>24</xdr:row>
      <xdr:rowOff>127000</xdr:rowOff>
    </xdr:to>
    <xdr:sp macro="" textlink="">
      <xdr:nvSpPr>
        <xdr:cNvPr id="29" name="Rounded Rectangle 28">
          <a:extLst>
            <a:ext uri="{FF2B5EF4-FFF2-40B4-BE49-F238E27FC236}">
              <a16:creationId xmlns:a16="http://schemas.microsoft.com/office/drawing/2014/main" id="{8110A9EF-7705-1870-27C0-EDDFA2B2C052}"/>
            </a:ext>
          </a:extLst>
        </xdr:cNvPr>
        <xdr:cNvSpPr/>
      </xdr:nvSpPr>
      <xdr:spPr>
        <a:xfrm>
          <a:off x="2469624" y="3010652"/>
          <a:ext cx="3906833" cy="2535015"/>
        </a:xfrm>
        <a:prstGeom prst="roundRect">
          <a:avLst>
            <a:gd name="adj" fmla="val 7876"/>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688006</xdr:colOff>
      <xdr:row>13</xdr:row>
      <xdr:rowOff>59666</xdr:rowOff>
    </xdr:from>
    <xdr:to>
      <xdr:col>10</xdr:col>
      <xdr:colOff>756617</xdr:colOff>
      <xdr:row>24</xdr:row>
      <xdr:rowOff>111125</xdr:rowOff>
    </xdr:to>
    <xdr:sp macro="" textlink="">
      <xdr:nvSpPr>
        <xdr:cNvPr id="30" name="Rounded Rectangle 29">
          <a:extLst>
            <a:ext uri="{FF2B5EF4-FFF2-40B4-BE49-F238E27FC236}">
              <a16:creationId xmlns:a16="http://schemas.microsoft.com/office/drawing/2014/main" id="{AC2999A5-0AE0-5FE6-CE83-8B7E82D4EB60}"/>
            </a:ext>
          </a:extLst>
        </xdr:cNvPr>
        <xdr:cNvSpPr/>
      </xdr:nvSpPr>
      <xdr:spPr>
        <a:xfrm>
          <a:off x="5645596" y="2645570"/>
          <a:ext cx="3373672" cy="2239531"/>
        </a:xfrm>
        <a:prstGeom prst="roundRect">
          <a:avLst>
            <a:gd name="adj" fmla="val 7876"/>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550514</xdr:colOff>
      <xdr:row>24</xdr:row>
      <xdr:rowOff>174625</xdr:rowOff>
    </xdr:from>
    <xdr:to>
      <xdr:col>6</xdr:col>
      <xdr:colOff>619125</xdr:colOff>
      <xdr:row>36</xdr:row>
      <xdr:rowOff>19709</xdr:rowOff>
    </xdr:to>
    <xdr:sp macro="" textlink="">
      <xdr:nvSpPr>
        <xdr:cNvPr id="32" name="Rounded Rectangle 31">
          <a:extLst>
            <a:ext uri="{FF2B5EF4-FFF2-40B4-BE49-F238E27FC236}">
              <a16:creationId xmlns:a16="http://schemas.microsoft.com/office/drawing/2014/main" id="{1CC9E5DE-C821-C241-FF23-F2D44BFDE906}"/>
            </a:ext>
          </a:extLst>
        </xdr:cNvPr>
        <xdr:cNvSpPr/>
      </xdr:nvSpPr>
      <xdr:spPr>
        <a:xfrm>
          <a:off x="2207036" y="5144190"/>
          <a:ext cx="3381654" cy="2329867"/>
        </a:xfrm>
        <a:prstGeom prst="roundRect">
          <a:avLst>
            <a:gd name="adj" fmla="val 7876"/>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677514</xdr:colOff>
      <xdr:row>24</xdr:row>
      <xdr:rowOff>158749</xdr:rowOff>
    </xdr:from>
    <xdr:to>
      <xdr:col>10</xdr:col>
      <xdr:colOff>746125</xdr:colOff>
      <xdr:row>47</xdr:row>
      <xdr:rowOff>111125</xdr:rowOff>
    </xdr:to>
    <xdr:sp macro="" textlink="">
      <xdr:nvSpPr>
        <xdr:cNvPr id="33" name="Rounded Rectangle 32">
          <a:extLst>
            <a:ext uri="{FF2B5EF4-FFF2-40B4-BE49-F238E27FC236}">
              <a16:creationId xmlns:a16="http://schemas.microsoft.com/office/drawing/2014/main" id="{2CDA04E6-AA40-0B2C-734D-1A5748B94E02}"/>
            </a:ext>
          </a:extLst>
        </xdr:cNvPr>
        <xdr:cNvSpPr/>
      </xdr:nvSpPr>
      <xdr:spPr>
        <a:xfrm>
          <a:off x="6392514" y="5645149"/>
          <a:ext cx="3878611" cy="5210176"/>
        </a:xfrm>
        <a:prstGeom prst="roundRect">
          <a:avLst>
            <a:gd name="adj" fmla="val 7876"/>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550514</xdr:colOff>
      <xdr:row>36</xdr:row>
      <xdr:rowOff>63500</xdr:rowOff>
    </xdr:from>
    <xdr:to>
      <xdr:col>6</xdr:col>
      <xdr:colOff>619125</xdr:colOff>
      <xdr:row>47</xdr:row>
      <xdr:rowOff>114959</xdr:rowOff>
    </xdr:to>
    <xdr:sp macro="" textlink="">
      <xdr:nvSpPr>
        <xdr:cNvPr id="34" name="Rounded Rectangle 33">
          <a:extLst>
            <a:ext uri="{FF2B5EF4-FFF2-40B4-BE49-F238E27FC236}">
              <a16:creationId xmlns:a16="http://schemas.microsoft.com/office/drawing/2014/main" id="{521D0941-1C0D-ECFD-9266-1456BE31AFE3}"/>
            </a:ext>
          </a:extLst>
        </xdr:cNvPr>
        <xdr:cNvSpPr/>
      </xdr:nvSpPr>
      <xdr:spPr>
        <a:xfrm>
          <a:off x="2207036" y="7517848"/>
          <a:ext cx="3381654" cy="2329176"/>
        </a:xfrm>
        <a:prstGeom prst="roundRect">
          <a:avLst>
            <a:gd name="adj" fmla="val 7876"/>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804514</xdr:colOff>
      <xdr:row>24</xdr:row>
      <xdr:rowOff>174624</xdr:rowOff>
    </xdr:from>
    <xdr:to>
      <xdr:col>19</xdr:col>
      <xdr:colOff>152400</xdr:colOff>
      <xdr:row>47</xdr:row>
      <xdr:rowOff>127000</xdr:rowOff>
    </xdr:to>
    <xdr:sp macro="" textlink="">
      <xdr:nvSpPr>
        <xdr:cNvPr id="35" name="Rounded Rectangle 34">
          <a:extLst>
            <a:ext uri="{FF2B5EF4-FFF2-40B4-BE49-F238E27FC236}">
              <a16:creationId xmlns:a16="http://schemas.microsoft.com/office/drawing/2014/main" id="{BE98414F-03D6-D271-662A-F49248533C93}"/>
            </a:ext>
          </a:extLst>
        </xdr:cNvPr>
        <xdr:cNvSpPr/>
      </xdr:nvSpPr>
      <xdr:spPr>
        <a:xfrm>
          <a:off x="10415325" y="5529219"/>
          <a:ext cx="8134913" cy="5083862"/>
        </a:xfrm>
        <a:prstGeom prst="roundRect">
          <a:avLst>
            <a:gd name="adj" fmla="val 7876"/>
          </a:avLst>
        </a:prstGeom>
        <a:solidFill>
          <a:schemeClr val="accent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237903</xdr:colOff>
      <xdr:row>0</xdr:row>
      <xdr:rowOff>0</xdr:rowOff>
    </xdr:from>
    <xdr:to>
      <xdr:col>2</xdr:col>
      <xdr:colOff>21748</xdr:colOff>
      <xdr:row>7</xdr:row>
      <xdr:rowOff>14260</xdr:rowOff>
    </xdr:to>
    <xdr:pic>
      <xdr:nvPicPr>
        <xdr:cNvPr id="45" name="Picture 44" descr="130+ Student Loan Clip Art Stock Illustrations, Royalty-Free Vector  Graphics &amp; Clip Art - iStock">
          <a:extLst>
            <a:ext uri="{FF2B5EF4-FFF2-40B4-BE49-F238E27FC236}">
              <a16:creationId xmlns:a16="http://schemas.microsoft.com/office/drawing/2014/main" id="{6F14E89A-DE6F-B9FD-8B36-975CF1DCC58A}"/>
            </a:ext>
          </a:extLst>
        </xdr:cNvPr>
        <xdr:cNvPicPr>
          <a:picLocks noChangeAspect="1"/>
        </xdr:cNvPicPr>
      </xdr:nvPicPr>
      <xdr:blipFill>
        <a:blip xmlns:r="http://schemas.openxmlformats.org/officeDocument/2006/relationships" r:embed="rId2">
          <a:duotone>
            <a:prstClr val="black"/>
            <a:schemeClr val="bg1">
              <a:tint val="45000"/>
              <a:satMod val="400000"/>
            </a:schemeClr>
          </a:duotone>
          <a:extLst>
            <a:ext uri="{BEBA8EAE-BF5A-486C-A8C5-ECC9F3942E4B}">
              <a14:imgProps xmlns:a14="http://schemas.microsoft.com/office/drawing/2010/main">
                <a14:imgLayer r:embed="rId3">
                  <a14:imgEffect>
                    <a14:backgroundRemoval t="10000" b="90000" l="10000" r="90000">
                      <a14:backgroundMark x1="16857" y1="8445" x2="16857" y2="8445"/>
                      <a14:backgroundMark x1="6596" y1="6104" x2="14251" y2="10117"/>
                      <a14:backgroundMark x1="14251" y1="10117" x2="41857" y2="5184"/>
                      <a14:backgroundMark x1="41857" y1="5184" x2="59772" y2="7860"/>
                      <a14:backgroundMark x1="59772" y1="7860" x2="81759" y2="23495"/>
                    </a14:backgroundRemoval>
                  </a14:imgEffect>
                  <a14:imgEffect>
                    <a14:sharpenSoften amount="100000"/>
                  </a14:imgEffect>
                  <a14:imgEffect>
                    <a14:brightnessContrast bright="76000"/>
                  </a14:imgEffect>
                </a14:imgLayer>
              </a14:imgProps>
            </a:ext>
          </a:extLst>
        </a:blip>
        <a:stretch>
          <a:fillRect/>
        </a:stretch>
      </xdr:blipFill>
      <xdr:spPr>
        <a:xfrm>
          <a:off x="237903" y="0"/>
          <a:ext cx="1664440" cy="1721539"/>
        </a:xfrm>
        <a:prstGeom prst="rect">
          <a:avLst/>
        </a:prstGeom>
      </xdr:spPr>
    </xdr:pic>
    <xdr:clientData/>
  </xdr:twoCellAnchor>
  <xdr:twoCellAnchor>
    <xdr:from>
      <xdr:col>2</xdr:col>
      <xdr:colOff>492125</xdr:colOff>
      <xdr:row>1</xdr:row>
      <xdr:rowOff>0</xdr:rowOff>
    </xdr:from>
    <xdr:to>
      <xdr:col>2</xdr:col>
      <xdr:colOff>492125</xdr:colOff>
      <xdr:row>7</xdr:row>
      <xdr:rowOff>0</xdr:rowOff>
    </xdr:to>
    <xdr:cxnSp macro="">
      <xdr:nvCxnSpPr>
        <xdr:cNvPr id="47" name="Straight Connector 46">
          <a:extLst>
            <a:ext uri="{FF2B5EF4-FFF2-40B4-BE49-F238E27FC236}">
              <a16:creationId xmlns:a16="http://schemas.microsoft.com/office/drawing/2014/main" id="{8B7F5559-4FF7-F209-27EC-7DDDF0EBD8F1}"/>
            </a:ext>
          </a:extLst>
        </xdr:cNvPr>
        <xdr:cNvCxnSpPr/>
      </xdr:nvCxnSpPr>
      <xdr:spPr>
        <a:xfrm>
          <a:off x="2135654" y="209176"/>
          <a:ext cx="0" cy="1255059"/>
        </a:xfrm>
        <a:prstGeom prst="line">
          <a:avLst/>
        </a:prstGeom>
        <a:ln>
          <a:solidFill>
            <a:schemeClr val="bg1"/>
          </a:solidFill>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0</xdr:colOff>
      <xdr:row>2</xdr:row>
      <xdr:rowOff>14941</xdr:rowOff>
    </xdr:from>
    <xdr:to>
      <xdr:col>16</xdr:col>
      <xdr:colOff>1</xdr:colOff>
      <xdr:row>7</xdr:row>
      <xdr:rowOff>0</xdr:rowOff>
    </xdr:to>
    <xdr:sp macro="" textlink="">
      <xdr:nvSpPr>
        <xdr:cNvPr id="48" name="TextBox 47">
          <a:extLst>
            <a:ext uri="{FF2B5EF4-FFF2-40B4-BE49-F238E27FC236}">
              <a16:creationId xmlns:a16="http://schemas.microsoft.com/office/drawing/2014/main" id="{3DC5FEA3-E0D4-4C39-97E0-BC5873D6196B}"/>
            </a:ext>
          </a:extLst>
        </xdr:cNvPr>
        <xdr:cNvSpPr txBox="1"/>
      </xdr:nvSpPr>
      <xdr:spPr>
        <a:xfrm>
          <a:off x="2489200" y="421341"/>
          <a:ext cx="10786534" cy="10010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4400" b="1" i="0">
              <a:solidFill>
                <a:schemeClr val="bg1"/>
              </a:solidFill>
              <a:latin typeface="Calibri" panose="020F0502020204030204" pitchFamily="34" charset="0"/>
              <a:cs typeface="Calibri" panose="020F0502020204030204" pitchFamily="34" charset="0"/>
            </a:rPr>
            <a:t>EDUCATION</a:t>
          </a:r>
          <a:r>
            <a:rPr lang="en-US" sz="4400" b="1" i="0" baseline="0">
              <a:solidFill>
                <a:schemeClr val="bg1"/>
              </a:solidFill>
              <a:latin typeface="Calibri" panose="020F0502020204030204" pitchFamily="34" charset="0"/>
              <a:cs typeface="Calibri" panose="020F0502020204030204" pitchFamily="34" charset="0"/>
            </a:rPr>
            <a:t> LOAN TRACKING DASHBOARD</a:t>
          </a:r>
          <a:endParaRPr lang="en-US" sz="4400" b="1" i="0">
            <a:solidFill>
              <a:schemeClr val="bg1"/>
            </a:solidFill>
            <a:latin typeface="Calibri" panose="020F0502020204030204" pitchFamily="34" charset="0"/>
            <a:cs typeface="Calibri" panose="020F0502020204030204" pitchFamily="34" charset="0"/>
          </a:endParaRPr>
        </a:p>
      </xdr:txBody>
    </xdr:sp>
    <xdr:clientData/>
  </xdr:twoCellAnchor>
  <xdr:twoCellAnchor editAs="oneCell">
    <xdr:from>
      <xdr:col>17</xdr:col>
      <xdr:colOff>250292</xdr:colOff>
      <xdr:row>5</xdr:row>
      <xdr:rowOff>9270</xdr:rowOff>
    </xdr:from>
    <xdr:to>
      <xdr:col>17</xdr:col>
      <xdr:colOff>798932</xdr:colOff>
      <xdr:row>7</xdr:row>
      <xdr:rowOff>73362</xdr:rowOff>
    </xdr:to>
    <xdr:pic macro="[0]!ScrollBar_UpdatePivot">
      <xdr:nvPicPr>
        <xdr:cNvPr id="52" name="Picture 51" descr="Repeat with solid fill">
          <a:extLst>
            <a:ext uri="{FF2B5EF4-FFF2-40B4-BE49-F238E27FC236}">
              <a16:creationId xmlns:a16="http://schemas.microsoft.com/office/drawing/2014/main" id="{298804C3-0655-BC4B-59C0-1928C982E0D1}"/>
            </a:ext>
          </a:extLst>
        </xdr:cNvPr>
        <xdr:cNvPicPr>
          <a:picLocks noChangeAspect="1"/>
        </xdr:cNvPicPr>
      </xdr:nvPicPr>
      <xdr:blipFill>
        <a:blip xmlns:r="http://schemas.openxmlformats.org/officeDocument/2006/relationships" r:embed="rId4">
          <a:lum bright="70000" contrast="-70000"/>
          <a:extLst>
            <a:ext uri="{BEBA8EAE-BF5A-486C-A8C5-ECC9F3942E4B}">
              <a14:imgProps xmlns:a14="http://schemas.microsoft.com/office/drawing/2010/main">
                <a14:imgLayer r:embed="rId5">
                  <a14:imgEffect>
                    <a14:artisticPhotocopy/>
                  </a14:imgEffect>
                </a14:imgLayer>
              </a14:imgProps>
            </a:ext>
          </a:extLst>
        </a:blip>
        <a:stretch>
          <a:fillRect/>
        </a:stretch>
      </xdr:blipFill>
      <xdr:spPr>
        <a:xfrm>
          <a:off x="16482190" y="1168029"/>
          <a:ext cx="548640" cy="527596"/>
        </a:xfrm>
        <a:prstGeom prst="rect">
          <a:avLst/>
        </a:prstGeom>
        <a:ln>
          <a:noFill/>
        </a:ln>
      </xdr:spPr>
    </xdr:pic>
    <xdr:clientData/>
  </xdr:twoCellAnchor>
  <xdr:twoCellAnchor editAs="oneCell">
    <xdr:from>
      <xdr:col>2</xdr:col>
      <xdr:colOff>581683</xdr:colOff>
      <xdr:row>9</xdr:row>
      <xdr:rowOff>162557</xdr:rowOff>
    </xdr:from>
    <xdr:to>
      <xdr:col>3</xdr:col>
      <xdr:colOff>273496</xdr:colOff>
      <xdr:row>12</xdr:row>
      <xdr:rowOff>90928</xdr:rowOff>
    </xdr:to>
    <xdr:pic>
      <xdr:nvPicPr>
        <xdr:cNvPr id="54" name="Graphic 53" descr="Document with solid fill">
          <a:extLst>
            <a:ext uri="{FF2B5EF4-FFF2-40B4-BE49-F238E27FC236}">
              <a16:creationId xmlns:a16="http://schemas.microsoft.com/office/drawing/2014/main" id="{2A1643EC-753B-C591-64C7-5B75545DD40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481347" y="2179616"/>
          <a:ext cx="641645" cy="600724"/>
        </a:xfrm>
        <a:prstGeom prst="rect">
          <a:avLst/>
        </a:prstGeom>
      </xdr:spPr>
    </xdr:pic>
    <xdr:clientData/>
  </xdr:twoCellAnchor>
  <xdr:twoCellAnchor>
    <xdr:from>
      <xdr:col>3</xdr:col>
      <xdr:colOff>372533</xdr:colOff>
      <xdr:row>8</xdr:row>
      <xdr:rowOff>89080</xdr:rowOff>
    </xdr:from>
    <xdr:to>
      <xdr:col>5</xdr:col>
      <xdr:colOff>643468</xdr:colOff>
      <xdr:row>10</xdr:row>
      <xdr:rowOff>156812</xdr:rowOff>
    </xdr:to>
    <xdr:sp macro="" textlink="">
      <xdr:nvSpPr>
        <xdr:cNvPr id="55" name="TextBox 54">
          <a:extLst>
            <a:ext uri="{FF2B5EF4-FFF2-40B4-BE49-F238E27FC236}">
              <a16:creationId xmlns:a16="http://schemas.microsoft.com/office/drawing/2014/main" id="{1B09FAAF-472A-4977-AE91-010813D525C6}"/>
            </a:ext>
          </a:extLst>
        </xdr:cNvPr>
        <xdr:cNvSpPr txBox="1"/>
      </xdr:nvSpPr>
      <xdr:spPr>
        <a:xfrm>
          <a:off x="3222029" y="1882021"/>
          <a:ext cx="2170599" cy="515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latin typeface="Calibri" panose="020F0502020204030204" pitchFamily="34" charset="0"/>
              <a:cs typeface="Calibri" panose="020F0502020204030204" pitchFamily="34" charset="0"/>
            </a:rPr>
            <a:t>Total Principal </a:t>
          </a:r>
        </a:p>
      </xdr:txBody>
    </xdr:sp>
    <xdr:clientData/>
  </xdr:twoCellAnchor>
  <xdr:twoCellAnchor editAs="oneCell">
    <xdr:from>
      <xdr:col>5</xdr:col>
      <xdr:colOff>945633</xdr:colOff>
      <xdr:row>8</xdr:row>
      <xdr:rowOff>213426</xdr:rowOff>
    </xdr:from>
    <xdr:to>
      <xdr:col>6</xdr:col>
      <xdr:colOff>746930</xdr:colOff>
      <xdr:row>12</xdr:row>
      <xdr:rowOff>33394</xdr:rowOff>
    </xdr:to>
    <xdr:pic>
      <xdr:nvPicPr>
        <xdr:cNvPr id="58" name="Picture 57" descr="Download Png File Svg - Bank Interest Rate Png PNG Image with No Background  - PNGkey.com">
          <a:extLst>
            <a:ext uri="{FF2B5EF4-FFF2-40B4-BE49-F238E27FC236}">
              <a16:creationId xmlns:a16="http://schemas.microsoft.com/office/drawing/2014/main" id="{A5F98B5A-1741-B7A1-AE61-35942E0B6D4C}"/>
            </a:ext>
          </a:extLst>
        </xdr:cNvPr>
        <xdr:cNvPicPr>
          <a:picLocks noChangeAspect="1" noChangeArrowheads="1"/>
        </xdr:cNvPicPr>
      </xdr:nvPicPr>
      <xdr:blipFill>
        <a:blip xmlns:r="http://schemas.openxmlformats.org/officeDocument/2006/relationships" r:embed="rId8" cstate="print">
          <a:duotone>
            <a:schemeClr val="bg2">
              <a:shade val="45000"/>
              <a:satMod val="135000"/>
            </a:schemeClr>
            <a:prstClr val="white"/>
          </a:duotone>
          <a:extLst>
            <a:ext uri="{BEBA8EAE-BF5A-486C-A8C5-ECC9F3942E4B}">
              <a14:imgProps xmlns:a14="http://schemas.microsoft.com/office/drawing/2010/main">
                <a14:imgLayer r:embed="rId9">
                  <a14:imgEffect>
                    <a14:saturation sat="392000"/>
                  </a14:imgEffect>
                  <a14:imgEffect>
                    <a14:brightnessContrast bright="36000"/>
                  </a14:imgEffect>
                </a14:imgLayer>
              </a14:imgProps>
            </a:ext>
            <a:ext uri="{28A0092B-C50C-407E-A947-70E740481C1C}">
              <a14:useLocalDpi xmlns:a14="http://schemas.microsoft.com/office/drawing/2010/main" val="0"/>
            </a:ext>
          </a:extLst>
        </a:blip>
        <a:srcRect/>
        <a:stretch>
          <a:fillRect/>
        </a:stretch>
      </xdr:blipFill>
      <xdr:spPr bwMode="auto">
        <a:xfrm>
          <a:off x="5694793" y="2006367"/>
          <a:ext cx="751129" cy="7164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882426</xdr:colOff>
      <xdr:row>8</xdr:row>
      <xdr:rowOff>78407</xdr:rowOff>
    </xdr:from>
    <xdr:to>
      <xdr:col>8</xdr:col>
      <xdr:colOff>882426</xdr:colOff>
      <xdr:row>10</xdr:row>
      <xdr:rowOff>10672</xdr:rowOff>
    </xdr:to>
    <xdr:sp macro="" textlink="">
      <xdr:nvSpPr>
        <xdr:cNvPr id="59" name="TextBox 58">
          <a:extLst>
            <a:ext uri="{FF2B5EF4-FFF2-40B4-BE49-F238E27FC236}">
              <a16:creationId xmlns:a16="http://schemas.microsoft.com/office/drawing/2014/main" id="{C253CA4A-3B71-D04B-BA64-AA8F51F42694}"/>
            </a:ext>
          </a:extLst>
        </xdr:cNvPr>
        <xdr:cNvSpPr txBox="1"/>
      </xdr:nvSpPr>
      <xdr:spPr>
        <a:xfrm>
          <a:off x="6581418" y="1871348"/>
          <a:ext cx="1899663" cy="38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latin typeface="Calibri" panose="020F0502020204030204" pitchFamily="34" charset="0"/>
              <a:ea typeface="+mn-ea"/>
              <a:cs typeface="Calibri" panose="020F0502020204030204" pitchFamily="34" charset="0"/>
            </a:rPr>
            <a:t>Total Interest </a:t>
          </a:r>
        </a:p>
      </xdr:txBody>
    </xdr:sp>
    <xdr:clientData/>
  </xdr:twoCellAnchor>
  <xdr:twoCellAnchor>
    <xdr:from>
      <xdr:col>16</xdr:col>
      <xdr:colOff>577747</xdr:colOff>
      <xdr:row>8</xdr:row>
      <xdr:rowOff>111981</xdr:rowOff>
    </xdr:from>
    <xdr:to>
      <xdr:col>18</xdr:col>
      <xdr:colOff>829734</xdr:colOff>
      <xdr:row>10</xdr:row>
      <xdr:rowOff>179712</xdr:rowOff>
    </xdr:to>
    <xdr:sp macro="" textlink="">
      <xdr:nvSpPr>
        <xdr:cNvPr id="60" name="TextBox 59">
          <a:extLst>
            <a:ext uri="{FF2B5EF4-FFF2-40B4-BE49-F238E27FC236}">
              <a16:creationId xmlns:a16="http://schemas.microsoft.com/office/drawing/2014/main" id="{1FFD201C-46BC-C7BD-1304-05AFD5A5C7D8}"/>
            </a:ext>
          </a:extLst>
        </xdr:cNvPr>
        <xdr:cNvSpPr txBox="1"/>
      </xdr:nvSpPr>
      <xdr:spPr>
        <a:xfrm>
          <a:off x="15750014" y="2008514"/>
          <a:ext cx="2148520" cy="5418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latin typeface="Calibri" panose="020F0502020204030204" pitchFamily="34" charset="0"/>
              <a:cs typeface="Calibri" panose="020F0502020204030204" pitchFamily="34" charset="0"/>
            </a:rPr>
            <a:t>Total Outstanding</a:t>
          </a:r>
        </a:p>
      </xdr:txBody>
    </xdr:sp>
    <xdr:clientData/>
  </xdr:twoCellAnchor>
  <xdr:twoCellAnchor editAs="oneCell">
    <xdr:from>
      <xdr:col>15</xdr:col>
      <xdr:colOff>829967</xdr:colOff>
      <xdr:row>9</xdr:row>
      <xdr:rowOff>58239</xdr:rowOff>
    </xdr:from>
    <xdr:to>
      <xdr:col>16</xdr:col>
      <xdr:colOff>738363</xdr:colOff>
      <xdr:row>12</xdr:row>
      <xdr:rowOff>216739</xdr:rowOff>
    </xdr:to>
    <xdr:pic>
      <xdr:nvPicPr>
        <xdr:cNvPr id="65" name="Graphic 64" descr="Money with solid fill">
          <a:extLst>
            <a:ext uri="{FF2B5EF4-FFF2-40B4-BE49-F238E27FC236}">
              <a16:creationId xmlns:a16="http://schemas.microsoft.com/office/drawing/2014/main" id="{36E1A384-FDF0-0430-9B35-CE102B5D4BFA}"/>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5053967" y="2191839"/>
          <a:ext cx="856663" cy="869700"/>
        </a:xfrm>
        <a:prstGeom prst="rect">
          <a:avLst/>
        </a:prstGeom>
      </xdr:spPr>
    </xdr:pic>
    <xdr:clientData/>
  </xdr:twoCellAnchor>
  <xdr:twoCellAnchor>
    <xdr:from>
      <xdr:col>9</xdr:col>
      <xdr:colOff>266291</xdr:colOff>
      <xdr:row>8</xdr:row>
      <xdr:rowOff>34753</xdr:rowOff>
    </xdr:from>
    <xdr:to>
      <xdr:col>12</xdr:col>
      <xdr:colOff>416506</xdr:colOff>
      <xdr:row>9</xdr:row>
      <xdr:rowOff>211393</xdr:rowOff>
    </xdr:to>
    <xdr:sp macro="" textlink="">
      <xdr:nvSpPr>
        <xdr:cNvPr id="66" name="TextBox 65">
          <a:extLst>
            <a:ext uri="{FF2B5EF4-FFF2-40B4-BE49-F238E27FC236}">
              <a16:creationId xmlns:a16="http://schemas.microsoft.com/office/drawing/2014/main" id="{3B3C15EE-7A1F-3A9B-712A-13EAAEEBEF2A}"/>
            </a:ext>
          </a:extLst>
        </xdr:cNvPr>
        <xdr:cNvSpPr txBox="1"/>
      </xdr:nvSpPr>
      <xdr:spPr>
        <a:xfrm>
          <a:off x="8869517" y="1837334"/>
          <a:ext cx="3017957" cy="401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chemeClr val="bg1"/>
              </a:solidFill>
              <a:latin typeface="Calibri" panose="020F0502020204030204" pitchFamily="34" charset="0"/>
              <a:cs typeface="Calibri" panose="020F0502020204030204" pitchFamily="34" charset="0"/>
            </a:rPr>
            <a:t>Automatic Interest Payment</a:t>
          </a:r>
          <a:r>
            <a:rPr lang="en-US" sz="1800" b="1" baseline="0">
              <a:solidFill>
                <a:schemeClr val="bg1"/>
              </a:solidFill>
              <a:latin typeface="Calibri" panose="020F0502020204030204" pitchFamily="34" charset="0"/>
              <a:cs typeface="Calibri" panose="020F0502020204030204" pitchFamily="34" charset="0"/>
            </a:rPr>
            <a:t> Deduction</a:t>
          </a:r>
          <a:endParaRPr lang="en-US" sz="1800" b="1">
            <a:solidFill>
              <a:schemeClr val="bg1"/>
            </a:solidFill>
            <a:latin typeface="Calibri" panose="020F0502020204030204" pitchFamily="34" charset="0"/>
            <a:cs typeface="Calibri" panose="020F0502020204030204" pitchFamily="34" charset="0"/>
          </a:endParaRPr>
        </a:p>
      </xdr:txBody>
    </xdr:sp>
    <xdr:clientData/>
  </xdr:twoCellAnchor>
  <xdr:twoCellAnchor editAs="oneCell">
    <xdr:from>
      <xdr:col>9</xdr:col>
      <xdr:colOff>301926</xdr:colOff>
      <xdr:row>9</xdr:row>
      <xdr:rowOff>133704</xdr:rowOff>
    </xdr:from>
    <xdr:to>
      <xdr:col>10</xdr:col>
      <xdr:colOff>36362</xdr:colOff>
      <xdr:row>12</xdr:row>
      <xdr:rowOff>98624</xdr:rowOff>
    </xdr:to>
    <xdr:pic>
      <xdr:nvPicPr>
        <xdr:cNvPr id="74" name="Picture 73" descr="Paid icons for free download | Freepik">
          <a:extLst>
            <a:ext uri="{FF2B5EF4-FFF2-40B4-BE49-F238E27FC236}">
              <a16:creationId xmlns:a16="http://schemas.microsoft.com/office/drawing/2014/main" id="{8D120910-0091-514D-86DF-23937373BD40}"/>
            </a:ext>
          </a:extLst>
        </xdr:cNvPr>
        <xdr:cNvPicPr>
          <a:picLocks noChangeAspect="1" noChangeArrowheads="1"/>
        </xdr:cNvPicPr>
      </xdr:nvPicPr>
      <xdr:blipFill>
        <a:blip xmlns:r="http://schemas.openxmlformats.org/officeDocument/2006/relationships" r:embed="rId12" cstate="print">
          <a:grayscl/>
          <a:extLst>
            <a:ext uri="{28A0092B-C50C-407E-A947-70E740481C1C}">
              <a14:useLocalDpi xmlns:a14="http://schemas.microsoft.com/office/drawing/2010/main" val="0"/>
            </a:ext>
          </a:extLst>
        </a:blip>
        <a:srcRect/>
        <a:stretch>
          <a:fillRect/>
        </a:stretch>
      </xdr:blipFill>
      <xdr:spPr bwMode="auto">
        <a:xfrm>
          <a:off x="8850413" y="2150763"/>
          <a:ext cx="684268" cy="6372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389686</xdr:colOff>
      <xdr:row>10</xdr:row>
      <xdr:rowOff>51597</xdr:rowOff>
    </xdr:from>
    <xdr:to>
      <xdr:col>5</xdr:col>
      <xdr:colOff>882322</xdr:colOff>
      <xdr:row>12</xdr:row>
      <xdr:rowOff>157394</xdr:rowOff>
    </xdr:to>
    <xdr:sp macro="" textlink="Pivot!E4">
      <xdr:nvSpPr>
        <xdr:cNvPr id="75" name="TextBox 74">
          <a:extLst>
            <a:ext uri="{FF2B5EF4-FFF2-40B4-BE49-F238E27FC236}">
              <a16:creationId xmlns:a16="http://schemas.microsoft.com/office/drawing/2014/main" id="{D7C79DF1-E0EE-F102-4291-78F9FD1D5391}"/>
            </a:ext>
          </a:extLst>
        </xdr:cNvPr>
        <xdr:cNvSpPr txBox="1"/>
      </xdr:nvSpPr>
      <xdr:spPr>
        <a:xfrm>
          <a:off x="3272929" y="2282678"/>
          <a:ext cx="2414798" cy="5520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0CDD998-D49A-9147-9B55-7E8C76984191}" type="TxLink">
            <a:rPr lang="en-US" sz="2400" b="1" i="0" u="none" strike="noStrike">
              <a:solidFill>
                <a:schemeClr val="bg1"/>
              </a:solidFill>
              <a:latin typeface="Calibri" panose="020F0502020204030204" pitchFamily="34" charset="0"/>
              <a:ea typeface="+mn-ea"/>
              <a:cs typeface="Calibri" panose="020F0502020204030204" pitchFamily="34" charset="0"/>
            </a:rPr>
            <a:pPr marL="0" indent="0"/>
            <a:t>₹ 1,545,312</a:t>
          </a:fld>
          <a:endParaRPr lang="en-US" sz="2400" b="1" i="0" u="none" strike="noStrike">
            <a:solidFill>
              <a:schemeClr val="bg1"/>
            </a:solidFill>
            <a:latin typeface="Calibri" panose="020F0502020204030204" pitchFamily="34" charset="0"/>
            <a:ea typeface="+mn-ea"/>
            <a:cs typeface="Calibri" panose="020F0502020204030204" pitchFamily="34" charset="0"/>
          </a:endParaRPr>
        </a:p>
      </xdr:txBody>
    </xdr:sp>
    <xdr:clientData/>
  </xdr:twoCellAnchor>
  <xdr:twoCellAnchor>
    <xdr:from>
      <xdr:col>16</xdr:col>
      <xdr:colOff>751572</xdr:colOff>
      <xdr:row>10</xdr:row>
      <xdr:rowOff>84381</xdr:rowOff>
    </xdr:from>
    <xdr:to>
      <xdr:col>18</xdr:col>
      <xdr:colOff>575187</xdr:colOff>
      <xdr:row>12</xdr:row>
      <xdr:rowOff>144548</xdr:rowOff>
    </xdr:to>
    <xdr:sp macro="" textlink="Pivot!D4">
      <xdr:nvSpPr>
        <xdr:cNvPr id="78" name="TextBox 77">
          <a:extLst>
            <a:ext uri="{FF2B5EF4-FFF2-40B4-BE49-F238E27FC236}">
              <a16:creationId xmlns:a16="http://schemas.microsoft.com/office/drawing/2014/main" id="{CEF5F808-450A-38EA-9588-6FE64994FF55}"/>
            </a:ext>
          </a:extLst>
        </xdr:cNvPr>
        <xdr:cNvSpPr txBox="1"/>
      </xdr:nvSpPr>
      <xdr:spPr>
        <a:xfrm>
          <a:off x="15923839" y="2455048"/>
          <a:ext cx="1720148" cy="534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D7FB44F-CF0D-D648-9AEF-D091F01A9096}" type="TxLink">
            <a:rPr lang="en-US" sz="2400" b="1" i="0" u="none" strike="noStrike">
              <a:solidFill>
                <a:schemeClr val="bg1"/>
              </a:solidFill>
              <a:latin typeface="Calibri" panose="020F0502020204030204" pitchFamily="34" charset="0"/>
              <a:ea typeface="+mn-ea"/>
              <a:cs typeface="Calibri" panose="020F0502020204030204" pitchFamily="34" charset="0"/>
            </a:rPr>
            <a:pPr marL="0" indent="0"/>
            <a:t>₹ 1,591,395</a:t>
          </a:fld>
          <a:endParaRPr lang="en-US" sz="2400" b="1" i="0" u="none" strike="noStrike">
            <a:solidFill>
              <a:schemeClr val="bg1"/>
            </a:solidFill>
            <a:latin typeface="Calibri" panose="020F0502020204030204" pitchFamily="34" charset="0"/>
            <a:ea typeface="+mn-ea"/>
            <a:cs typeface="Calibri" panose="020F0502020204030204" pitchFamily="34" charset="0"/>
          </a:endParaRPr>
        </a:p>
      </xdr:txBody>
    </xdr:sp>
    <xdr:clientData/>
  </xdr:twoCellAnchor>
  <xdr:twoCellAnchor editAs="oneCell">
    <xdr:from>
      <xdr:col>0</xdr:col>
      <xdr:colOff>159989</xdr:colOff>
      <xdr:row>8</xdr:row>
      <xdr:rowOff>142446</xdr:rowOff>
    </xdr:from>
    <xdr:to>
      <xdr:col>2</xdr:col>
      <xdr:colOff>366576</xdr:colOff>
      <xdr:row>15</xdr:row>
      <xdr:rowOff>37459</xdr:rowOff>
    </xdr:to>
    <mc:AlternateContent xmlns:mc="http://schemas.openxmlformats.org/markup-compatibility/2006" xmlns:a14="http://schemas.microsoft.com/office/drawing/2010/main">
      <mc:Choice Requires="a14">
        <xdr:graphicFrame macro="">
          <xdr:nvGraphicFramePr>
            <xdr:cNvPr id="2" name="Year 1">
              <a:extLst>
                <a:ext uri="{FF2B5EF4-FFF2-40B4-BE49-F238E27FC236}">
                  <a16:creationId xmlns:a16="http://schemas.microsoft.com/office/drawing/2014/main" id="{0C03A0C1-A1AC-B24A-8E95-6439879FEDF3}"/>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59989" y="1935387"/>
              <a:ext cx="2111587" cy="14638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177750</xdr:colOff>
      <xdr:row>16</xdr:row>
      <xdr:rowOff>109544</xdr:rowOff>
    </xdr:from>
    <xdr:to>
      <xdr:col>2</xdr:col>
      <xdr:colOff>336176</xdr:colOff>
      <xdr:row>47</xdr:row>
      <xdr:rowOff>18677</xdr:rowOff>
    </xdr:to>
    <mc:AlternateContent xmlns:mc="http://schemas.openxmlformats.org/markup-compatibility/2006" xmlns:a14="http://schemas.microsoft.com/office/drawing/2010/main">
      <mc:Choice Requires="a14">
        <xdr:graphicFrame macro="">
          <xdr:nvGraphicFramePr>
            <xdr:cNvPr id="3" name="Month 1">
              <a:extLst>
                <a:ext uri="{FF2B5EF4-FFF2-40B4-BE49-F238E27FC236}">
                  <a16:creationId xmlns:a16="http://schemas.microsoft.com/office/drawing/2014/main" id="{38CF92CD-26D1-7242-9ED8-83F177848FC1}"/>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77750" y="3695426"/>
              <a:ext cx="2135814" cy="70500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441730</xdr:colOff>
      <xdr:row>10</xdr:row>
      <xdr:rowOff>40289</xdr:rowOff>
    </xdr:from>
    <xdr:to>
      <xdr:col>12</xdr:col>
      <xdr:colOff>208597</xdr:colOff>
      <xdr:row>12</xdr:row>
      <xdr:rowOff>141888</xdr:rowOff>
    </xdr:to>
    <xdr:sp macro="" textlink="Pivot!B4">
      <xdr:nvSpPr>
        <xdr:cNvPr id="4" name="TextBox 3">
          <a:extLst>
            <a:ext uri="{FF2B5EF4-FFF2-40B4-BE49-F238E27FC236}">
              <a16:creationId xmlns:a16="http://schemas.microsoft.com/office/drawing/2014/main" id="{F03607A6-4D5F-CA08-388A-300D371E8BEA}"/>
            </a:ext>
          </a:extLst>
        </xdr:cNvPr>
        <xdr:cNvSpPr txBox="1"/>
      </xdr:nvSpPr>
      <xdr:spPr>
        <a:xfrm>
          <a:off x="9924397" y="2410956"/>
          <a:ext cx="1663400" cy="5757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7BDF20F-E2C6-1C44-B6DF-F08E535B1D2F}" type="TxLink">
            <a:rPr lang="en-US" sz="2400" b="1" i="0" u="none" strike="noStrike">
              <a:solidFill>
                <a:schemeClr val="bg1"/>
              </a:solidFill>
              <a:latin typeface="Calibri" panose="020F0502020204030204" pitchFamily="34" charset="0"/>
              <a:ea typeface="+mn-ea"/>
              <a:cs typeface="Calibri" panose="020F0502020204030204" pitchFamily="34" charset="0"/>
            </a:rPr>
            <a:pPr marL="0" indent="0"/>
            <a:t>₹ 6,180</a:t>
          </a:fld>
          <a:endParaRPr lang="en-US" sz="2400" b="1" i="0" u="none" strike="noStrike">
            <a:solidFill>
              <a:schemeClr val="bg1"/>
            </a:solidFill>
            <a:latin typeface="Calibri" panose="020F0502020204030204" pitchFamily="34" charset="0"/>
            <a:ea typeface="+mn-ea"/>
            <a:cs typeface="Calibri" panose="020F0502020204030204" pitchFamily="34" charset="0"/>
          </a:endParaRPr>
        </a:p>
      </xdr:txBody>
    </xdr:sp>
    <xdr:clientData/>
  </xdr:twoCellAnchor>
  <xdr:twoCellAnchor>
    <xdr:from>
      <xdr:col>7</xdr:col>
      <xdr:colOff>123816</xdr:colOff>
      <xdr:row>10</xdr:row>
      <xdr:rowOff>52168</xdr:rowOff>
    </xdr:from>
    <xdr:to>
      <xdr:col>8</xdr:col>
      <xdr:colOff>831303</xdr:colOff>
      <xdr:row>12</xdr:row>
      <xdr:rowOff>153767</xdr:rowOff>
    </xdr:to>
    <xdr:sp macro="" textlink="Pivot!C4">
      <xdr:nvSpPr>
        <xdr:cNvPr id="6" name="TextBox 5">
          <a:extLst>
            <a:ext uri="{FF2B5EF4-FFF2-40B4-BE49-F238E27FC236}">
              <a16:creationId xmlns:a16="http://schemas.microsoft.com/office/drawing/2014/main" id="{8C3D7579-B675-1013-5DC3-D13F0C5F6803}"/>
            </a:ext>
          </a:extLst>
        </xdr:cNvPr>
        <xdr:cNvSpPr txBox="1"/>
      </xdr:nvSpPr>
      <xdr:spPr>
        <a:xfrm>
          <a:off x="6761683" y="2422835"/>
          <a:ext cx="1655753" cy="5757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F2D9DF6-EDD9-6F42-B30C-1289E8BE94ED}" type="TxLink">
            <a:rPr lang="en-US" sz="2400" b="1" i="0" u="none" strike="noStrike">
              <a:solidFill>
                <a:schemeClr val="bg1"/>
              </a:solidFill>
              <a:latin typeface="Calibri" panose="020F0502020204030204" pitchFamily="34" charset="0"/>
              <a:ea typeface="+mn-ea"/>
              <a:cs typeface="Calibri" panose="020F0502020204030204" pitchFamily="34" charset="0"/>
            </a:rPr>
            <a:pPr marL="0" indent="0"/>
            <a:t>₹ 52,263</a:t>
          </a:fld>
          <a:endParaRPr lang="en-US" sz="2400" b="1" i="0" u="none" strike="noStrike">
            <a:solidFill>
              <a:schemeClr val="bg1"/>
            </a:solidFill>
            <a:latin typeface="Calibri" panose="020F0502020204030204" pitchFamily="34" charset="0"/>
            <a:ea typeface="+mn-ea"/>
            <a:cs typeface="Calibri" panose="020F0502020204030204" pitchFamily="34" charset="0"/>
          </a:endParaRPr>
        </a:p>
      </xdr:txBody>
    </xdr:sp>
    <xdr:clientData/>
  </xdr:twoCellAnchor>
  <xdr:twoCellAnchor>
    <xdr:from>
      <xdr:col>13</xdr:col>
      <xdr:colOff>44343</xdr:colOff>
      <xdr:row>8</xdr:row>
      <xdr:rowOff>99482</xdr:rowOff>
    </xdr:from>
    <xdr:to>
      <xdr:col>15</xdr:col>
      <xdr:colOff>440267</xdr:colOff>
      <xdr:row>10</xdr:row>
      <xdr:rowOff>50799</xdr:rowOff>
    </xdr:to>
    <xdr:sp macro="" textlink="">
      <xdr:nvSpPr>
        <xdr:cNvPr id="8" name="TextBox 7">
          <a:extLst>
            <a:ext uri="{FF2B5EF4-FFF2-40B4-BE49-F238E27FC236}">
              <a16:creationId xmlns:a16="http://schemas.microsoft.com/office/drawing/2014/main" id="{7DAD0A18-C0A5-7304-33EB-2C980B2A85D4}"/>
            </a:ext>
          </a:extLst>
        </xdr:cNvPr>
        <xdr:cNvSpPr txBox="1"/>
      </xdr:nvSpPr>
      <xdr:spPr>
        <a:xfrm>
          <a:off x="12426843" y="1913768"/>
          <a:ext cx="2300924" cy="4048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latin typeface="Calibri" panose="020F0502020204030204" pitchFamily="34" charset="0"/>
              <a:cs typeface="Calibri" panose="020F0502020204030204" pitchFamily="34" charset="0"/>
            </a:rPr>
            <a:t>Remaining </a:t>
          </a:r>
          <a:r>
            <a:rPr lang="en-US" sz="2000" b="1" baseline="0">
              <a:solidFill>
                <a:schemeClr val="bg1"/>
              </a:solidFill>
              <a:latin typeface="Calibri" panose="020F0502020204030204" pitchFamily="34" charset="0"/>
              <a:cs typeface="Calibri" panose="020F0502020204030204" pitchFamily="34" charset="0"/>
            </a:rPr>
            <a:t>Interest </a:t>
          </a:r>
          <a:endParaRPr lang="en-US" sz="2000" b="1">
            <a:solidFill>
              <a:schemeClr val="bg1"/>
            </a:solidFill>
            <a:latin typeface="Calibri" panose="020F0502020204030204" pitchFamily="34" charset="0"/>
            <a:cs typeface="Calibri" panose="020F0502020204030204" pitchFamily="34" charset="0"/>
          </a:endParaRPr>
        </a:p>
      </xdr:txBody>
    </xdr:sp>
    <xdr:clientData/>
  </xdr:twoCellAnchor>
  <xdr:twoCellAnchor editAs="oneCell">
    <xdr:from>
      <xdr:col>12</xdr:col>
      <xdr:colOff>524934</xdr:colOff>
      <xdr:row>9</xdr:row>
      <xdr:rowOff>135467</xdr:rowOff>
    </xdr:from>
    <xdr:to>
      <xdr:col>13</xdr:col>
      <xdr:colOff>220133</xdr:colOff>
      <xdr:row>12</xdr:row>
      <xdr:rowOff>67733</xdr:rowOff>
    </xdr:to>
    <xdr:pic>
      <xdr:nvPicPr>
        <xdr:cNvPr id="10" name="Graphic 9" descr="Hourglass Finished with solid fill">
          <a:extLst>
            <a:ext uri="{FF2B5EF4-FFF2-40B4-BE49-F238E27FC236}">
              <a16:creationId xmlns:a16="http://schemas.microsoft.com/office/drawing/2014/main" id="{77707B5D-8572-114B-7F16-25EB7EB9AC0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904134" y="2269067"/>
          <a:ext cx="643466" cy="643466"/>
        </a:xfrm>
        <a:prstGeom prst="rect">
          <a:avLst/>
        </a:prstGeom>
      </xdr:spPr>
    </xdr:pic>
    <xdr:clientData/>
  </xdr:twoCellAnchor>
  <xdr:twoCellAnchor>
    <xdr:from>
      <xdr:col>13</xdr:col>
      <xdr:colOff>466693</xdr:colOff>
      <xdr:row>10</xdr:row>
      <xdr:rowOff>58392</xdr:rowOff>
    </xdr:from>
    <xdr:to>
      <xdr:col>15</xdr:col>
      <xdr:colOff>429846</xdr:colOff>
      <xdr:row>12</xdr:row>
      <xdr:rowOff>195385</xdr:rowOff>
    </xdr:to>
    <xdr:sp macro="" textlink="Pivot!F4">
      <xdr:nvSpPr>
        <xdr:cNvPr id="11" name="TextBox 10">
          <a:extLst>
            <a:ext uri="{FF2B5EF4-FFF2-40B4-BE49-F238E27FC236}">
              <a16:creationId xmlns:a16="http://schemas.microsoft.com/office/drawing/2014/main" id="{86B1ADCB-7F13-7C2D-AD40-A1031D16B38D}"/>
            </a:ext>
          </a:extLst>
        </xdr:cNvPr>
        <xdr:cNvSpPr txBox="1"/>
      </xdr:nvSpPr>
      <xdr:spPr>
        <a:xfrm>
          <a:off x="12912693" y="2403007"/>
          <a:ext cx="1877922" cy="6059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D60C793-389F-B344-88BC-D2855F6534D7}" type="TxLink">
            <a:rPr lang="en-US" sz="2400" b="1" i="0" u="none" strike="noStrike">
              <a:solidFill>
                <a:schemeClr val="bg1"/>
              </a:solidFill>
              <a:latin typeface="Calibri" panose="020F0502020204030204" pitchFamily="34" charset="0"/>
              <a:ea typeface="+mn-ea"/>
              <a:cs typeface="Calibri" panose="020F0502020204030204" pitchFamily="34" charset="0"/>
            </a:rPr>
            <a:pPr marL="0" indent="0"/>
            <a:t>₹ 46,083</a:t>
          </a:fld>
          <a:endParaRPr lang="en-US" sz="2400" b="1" i="0" u="none" strike="noStrike">
            <a:solidFill>
              <a:schemeClr val="bg1"/>
            </a:solidFill>
            <a:latin typeface="Calibri" panose="020F0502020204030204" pitchFamily="34" charset="0"/>
            <a:ea typeface="+mn-ea"/>
            <a:cs typeface="Calibri" panose="020F050202020403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3</xdr:col>
          <xdr:colOff>139700</xdr:colOff>
          <xdr:row>22</xdr:row>
          <xdr:rowOff>50800</xdr:rowOff>
        </xdr:from>
        <xdr:to>
          <xdr:col>5</xdr:col>
          <xdr:colOff>787400</xdr:colOff>
          <xdr:row>23</xdr:row>
          <xdr:rowOff>203200</xdr:rowOff>
        </xdr:to>
        <xdr:sp macro="" textlink="">
          <xdr:nvSpPr>
            <xdr:cNvPr id="1027" name="Scroll Bar 3" hidden="1">
              <a:extLst>
                <a:ext uri="{63B3BB69-23CF-44E3-9099-C40C66FF867C}">
                  <a14:compatExt spid="_x0000_s1027"/>
                </a:ext>
                <a:ext uri="{FF2B5EF4-FFF2-40B4-BE49-F238E27FC236}">
                  <a16:creationId xmlns:a16="http://schemas.microsoft.com/office/drawing/2014/main" id="{00000000-0008-0000-0400-000003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491068</xdr:colOff>
      <xdr:row>13</xdr:row>
      <xdr:rowOff>175675</xdr:rowOff>
    </xdr:from>
    <xdr:to>
      <xdr:col>6</xdr:col>
      <xdr:colOff>863601</xdr:colOff>
      <xdr:row>15</xdr:row>
      <xdr:rowOff>67734</xdr:rowOff>
    </xdr:to>
    <xdr:sp macro="" textlink="">
      <xdr:nvSpPr>
        <xdr:cNvPr id="5" name="TextBox 4">
          <a:extLst>
            <a:ext uri="{FF2B5EF4-FFF2-40B4-BE49-F238E27FC236}">
              <a16:creationId xmlns:a16="http://schemas.microsoft.com/office/drawing/2014/main" id="{D6FE1823-D6E4-5946-B710-CD98812DB322}"/>
            </a:ext>
          </a:extLst>
        </xdr:cNvPr>
        <xdr:cNvSpPr txBox="1"/>
      </xdr:nvSpPr>
      <xdr:spPr>
        <a:xfrm>
          <a:off x="2387601" y="3257542"/>
          <a:ext cx="4165600" cy="366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800">
              <a:solidFill>
                <a:schemeClr val="bg1"/>
              </a:solidFill>
            </a:rPr>
            <a:t>Calculate no.of payments</a:t>
          </a:r>
          <a:r>
            <a:rPr lang="en-US" sz="1800" baseline="0">
              <a:solidFill>
                <a:schemeClr val="bg1"/>
              </a:solidFill>
            </a:rPr>
            <a:t> based on EMI</a:t>
          </a:r>
          <a:endParaRPr lang="en-US" sz="1800">
            <a:solidFill>
              <a:schemeClr val="bg1"/>
            </a:solidFill>
          </a:endParaRPr>
        </a:p>
        <a:p>
          <a:r>
            <a:rPr lang="en-US" sz="1800" b="1" baseline="0">
              <a:solidFill>
                <a:schemeClr val="bg1"/>
              </a:solidFill>
              <a:latin typeface="Calibri" panose="020F0502020204030204" pitchFamily="34" charset="0"/>
              <a:cs typeface="Calibri" panose="020F0502020204030204" pitchFamily="34" charset="0"/>
            </a:rPr>
            <a:t>  </a:t>
          </a:r>
          <a:endParaRPr lang="en-US" sz="1800" b="1">
            <a:solidFill>
              <a:schemeClr val="bg1"/>
            </a:solidFill>
            <a:latin typeface="Calibri" panose="020F0502020204030204" pitchFamily="34" charset="0"/>
            <a:cs typeface="Calibri" panose="020F0502020204030204" pitchFamily="34" charset="0"/>
          </a:endParaRPr>
        </a:p>
        <a:p>
          <a:endParaRPr lang="en-US" sz="1800" b="1">
            <a:solidFill>
              <a:schemeClr val="bg1"/>
            </a:solidFill>
            <a:latin typeface="Calibri" panose="020F0502020204030204" pitchFamily="34" charset="0"/>
            <a:cs typeface="Calibri" panose="020F0502020204030204" pitchFamily="34" charset="0"/>
          </a:endParaRPr>
        </a:p>
      </xdr:txBody>
    </xdr:sp>
    <xdr:clientData/>
  </xdr:twoCellAnchor>
  <xdr:twoCellAnchor>
    <xdr:from>
      <xdr:col>3</xdr:col>
      <xdr:colOff>813944</xdr:colOff>
      <xdr:row>16</xdr:row>
      <xdr:rowOff>686</xdr:rowOff>
    </xdr:from>
    <xdr:to>
      <xdr:col>5</xdr:col>
      <xdr:colOff>389467</xdr:colOff>
      <xdr:row>18</xdr:row>
      <xdr:rowOff>220591</xdr:rowOff>
    </xdr:to>
    <xdr:sp macro="" textlink="Pivot!L4">
      <xdr:nvSpPr>
        <xdr:cNvPr id="7" name="TextBox 6">
          <a:extLst>
            <a:ext uri="{FF2B5EF4-FFF2-40B4-BE49-F238E27FC236}">
              <a16:creationId xmlns:a16="http://schemas.microsoft.com/office/drawing/2014/main" id="{762C42C7-51CD-3765-73AF-853D85482B8E}"/>
            </a:ext>
          </a:extLst>
        </xdr:cNvPr>
        <xdr:cNvSpPr txBox="1"/>
      </xdr:nvSpPr>
      <xdr:spPr>
        <a:xfrm>
          <a:off x="3658744" y="3793753"/>
          <a:ext cx="1472056" cy="6940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2CF1F8D-5C4E-994A-BF5C-EC6F5F285A06}" type="TxLink">
            <a:rPr lang="en-US" sz="3600" b="1" i="0" u="none" strike="noStrike">
              <a:solidFill>
                <a:schemeClr val="bg1"/>
              </a:solidFill>
              <a:latin typeface="Calibri" panose="020F0502020204030204" pitchFamily="34" charset="0"/>
              <a:ea typeface="+mn-ea"/>
              <a:cs typeface="Calibri" panose="020F0502020204030204" pitchFamily="34" charset="0"/>
            </a:rPr>
            <a:pPr marL="0" indent="0" algn="ctr"/>
            <a:t>22</a:t>
          </a:fld>
          <a:endParaRPr lang="en-US" sz="19900" b="1" i="0" u="none" strike="noStrike">
            <a:solidFill>
              <a:schemeClr val="bg1"/>
            </a:solidFill>
            <a:latin typeface="Calibri" panose="020F0502020204030204" pitchFamily="34" charset="0"/>
            <a:ea typeface="+mn-ea"/>
            <a:cs typeface="Calibri" panose="020F0502020204030204" pitchFamily="34" charset="0"/>
          </a:endParaRPr>
        </a:p>
      </xdr:txBody>
    </xdr:sp>
    <xdr:clientData/>
  </xdr:twoCellAnchor>
  <xdr:twoCellAnchor>
    <xdr:from>
      <xdr:col>3</xdr:col>
      <xdr:colOff>666577</xdr:colOff>
      <xdr:row>19</xdr:row>
      <xdr:rowOff>151406</xdr:rowOff>
    </xdr:from>
    <xdr:to>
      <xdr:col>5</xdr:col>
      <xdr:colOff>474134</xdr:colOff>
      <xdr:row>22</xdr:row>
      <xdr:rowOff>34095</xdr:rowOff>
    </xdr:to>
    <xdr:sp macro="" textlink="Pivot!I4">
      <xdr:nvSpPr>
        <xdr:cNvPr id="9" name="TextBox 8">
          <a:extLst>
            <a:ext uri="{FF2B5EF4-FFF2-40B4-BE49-F238E27FC236}">
              <a16:creationId xmlns:a16="http://schemas.microsoft.com/office/drawing/2014/main" id="{800E9D77-04B9-0D01-CA99-F0F1BB694C0A}"/>
            </a:ext>
          </a:extLst>
        </xdr:cNvPr>
        <xdr:cNvSpPr txBox="1"/>
      </xdr:nvSpPr>
      <xdr:spPr>
        <a:xfrm>
          <a:off x="3511377" y="4655673"/>
          <a:ext cx="1704090" cy="5938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9209604-CFFD-164A-A746-0189C08D2D00}" type="TxLink">
            <a:rPr lang="en-US" sz="2800" b="1" i="0" u="none" strike="noStrike">
              <a:solidFill>
                <a:schemeClr val="bg1"/>
              </a:solidFill>
              <a:latin typeface="Calibri" panose="020F0502020204030204" pitchFamily="34" charset="0"/>
              <a:ea typeface="+mn-ea"/>
              <a:cs typeface="Calibri" panose="020F0502020204030204" pitchFamily="34" charset="0"/>
            </a:rPr>
            <a:pPr marL="0" indent="0"/>
            <a:t>₹ 80,000</a:t>
          </a:fld>
          <a:endParaRPr lang="en-US" sz="6000" b="1" i="0" u="none" strike="noStrike">
            <a:solidFill>
              <a:schemeClr val="bg1"/>
            </a:solidFill>
            <a:latin typeface="Calibri" panose="020F0502020204030204" pitchFamily="34" charset="0"/>
            <a:ea typeface="+mn-ea"/>
            <a:cs typeface="Calibri" panose="020F0502020204030204" pitchFamily="34" charset="0"/>
          </a:endParaRPr>
        </a:p>
      </xdr:txBody>
    </xdr:sp>
    <xdr:clientData/>
  </xdr:twoCellAnchor>
  <xdr:twoCellAnchor>
    <xdr:from>
      <xdr:col>2</xdr:col>
      <xdr:colOff>628074</xdr:colOff>
      <xdr:row>36</xdr:row>
      <xdr:rowOff>144081</xdr:rowOff>
    </xdr:from>
    <xdr:to>
      <xdr:col>6</xdr:col>
      <xdr:colOff>564261</xdr:colOff>
      <xdr:row>47</xdr:row>
      <xdr:rowOff>47722</xdr:rowOff>
    </xdr:to>
    <xdr:graphicFrame macro="">
      <xdr:nvGraphicFramePr>
        <xdr:cNvPr id="12" name="Chart 11">
          <a:extLst>
            <a:ext uri="{FF2B5EF4-FFF2-40B4-BE49-F238E27FC236}">
              <a16:creationId xmlns:a16="http://schemas.microsoft.com/office/drawing/2014/main" id="{5537987B-2477-9340-A083-DBB947B87C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622077</xdr:colOff>
      <xdr:row>25</xdr:row>
      <xdr:rowOff>54030</xdr:rowOff>
    </xdr:from>
    <xdr:to>
      <xdr:col>6</xdr:col>
      <xdr:colOff>558800</xdr:colOff>
      <xdr:row>35</xdr:row>
      <xdr:rowOff>162560</xdr:rowOff>
    </xdr:to>
    <xdr:graphicFrame macro="">
      <xdr:nvGraphicFramePr>
        <xdr:cNvPr id="14" name="Chart 13">
          <a:extLst>
            <a:ext uri="{FF2B5EF4-FFF2-40B4-BE49-F238E27FC236}">
              <a16:creationId xmlns:a16="http://schemas.microsoft.com/office/drawing/2014/main" id="{55279463-9B87-344D-BF86-EFE3C7DE1C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6</xdr:col>
      <xdr:colOff>769655</xdr:colOff>
      <xdr:row>24</xdr:row>
      <xdr:rowOff>101600</xdr:rowOff>
    </xdr:from>
    <xdr:to>
      <xdr:col>10</xdr:col>
      <xdr:colOff>685800</xdr:colOff>
      <xdr:row>46</xdr:row>
      <xdr:rowOff>190501</xdr:rowOff>
    </xdr:to>
    <xdr:graphicFrame macro="">
      <xdr:nvGraphicFramePr>
        <xdr:cNvPr id="15" name="Chart 14">
          <a:extLst>
            <a:ext uri="{FF2B5EF4-FFF2-40B4-BE49-F238E27FC236}">
              <a16:creationId xmlns:a16="http://schemas.microsoft.com/office/drawing/2014/main" id="{06342A98-749A-7C45-B2DB-95D4C7D804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6</xdr:col>
      <xdr:colOff>713259</xdr:colOff>
      <xdr:row>13</xdr:row>
      <xdr:rowOff>211384</xdr:rowOff>
    </xdr:from>
    <xdr:to>
      <xdr:col>10</xdr:col>
      <xdr:colOff>677333</xdr:colOff>
      <xdr:row>23</xdr:row>
      <xdr:rowOff>220134</xdr:rowOff>
    </xdr:to>
    <xdr:graphicFrame macro="">
      <xdr:nvGraphicFramePr>
        <xdr:cNvPr id="17" name="Chart 16">
          <a:extLst>
            <a:ext uri="{FF2B5EF4-FFF2-40B4-BE49-F238E27FC236}">
              <a16:creationId xmlns:a16="http://schemas.microsoft.com/office/drawing/2014/main" id="{A3BCE123-4ED4-9C4B-B0E7-CC25F95C67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editAs="oneCell">
    <xdr:from>
      <xdr:col>10</xdr:col>
      <xdr:colOff>899160</xdr:colOff>
      <xdr:row>14</xdr:row>
      <xdr:rowOff>76890</xdr:rowOff>
    </xdr:from>
    <xdr:to>
      <xdr:col>12</xdr:col>
      <xdr:colOff>657225</xdr:colOff>
      <xdr:row>18</xdr:row>
      <xdr:rowOff>76200</xdr:rowOff>
    </xdr:to>
    <mc:AlternateContent xmlns:mc="http://schemas.openxmlformats.org/markup-compatibility/2006" xmlns:a14="http://schemas.microsoft.com/office/drawing/2010/main">
      <mc:Choice Requires="a14">
        <xdr:graphicFrame macro="">
          <xdr:nvGraphicFramePr>
            <xdr:cNvPr id="16" name="Year">
              <a:extLst>
                <a:ext uri="{FF2B5EF4-FFF2-40B4-BE49-F238E27FC236}">
                  <a16:creationId xmlns:a16="http://schemas.microsoft.com/office/drawing/2014/main" id="{EB225501-4F69-3448-AFFD-B397C6D6BA78}"/>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0424160" y="3214537"/>
              <a:ext cx="1663065" cy="8957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3</xdr:col>
      <xdr:colOff>687431</xdr:colOff>
      <xdr:row>14</xdr:row>
      <xdr:rowOff>34954</xdr:rowOff>
    </xdr:from>
    <xdr:ext cx="184731" cy="264560"/>
    <xdr:sp macro="" textlink="">
      <xdr:nvSpPr>
        <xdr:cNvPr id="18" name="TextBox 17">
          <a:extLst>
            <a:ext uri="{FF2B5EF4-FFF2-40B4-BE49-F238E27FC236}">
              <a16:creationId xmlns:a16="http://schemas.microsoft.com/office/drawing/2014/main" id="{C3720721-D859-89CF-0A16-BAD56145461D}"/>
            </a:ext>
          </a:extLst>
        </xdr:cNvPr>
        <xdr:cNvSpPr txBox="1"/>
      </xdr:nvSpPr>
      <xdr:spPr>
        <a:xfrm>
          <a:off x="3553670" y="329733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3</xdr:col>
      <xdr:colOff>26923</xdr:colOff>
      <xdr:row>24</xdr:row>
      <xdr:rowOff>128165</xdr:rowOff>
    </xdr:from>
    <xdr:to>
      <xdr:col>6</xdr:col>
      <xdr:colOff>67733</xdr:colOff>
      <xdr:row>26</xdr:row>
      <xdr:rowOff>50800</xdr:rowOff>
    </xdr:to>
    <xdr:sp macro="" textlink="">
      <xdr:nvSpPr>
        <xdr:cNvPr id="19" name="TextBox 18">
          <a:extLst>
            <a:ext uri="{FF2B5EF4-FFF2-40B4-BE49-F238E27FC236}">
              <a16:creationId xmlns:a16="http://schemas.microsoft.com/office/drawing/2014/main" id="{3AE6AD79-0451-04F8-12F1-6DD21B746E00}"/>
            </a:ext>
          </a:extLst>
        </xdr:cNvPr>
        <xdr:cNvSpPr txBox="1"/>
      </xdr:nvSpPr>
      <xdr:spPr>
        <a:xfrm>
          <a:off x="2871723" y="5817765"/>
          <a:ext cx="2885610" cy="3967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baseline="0">
              <a:solidFill>
                <a:schemeClr val="bg1"/>
              </a:solidFill>
              <a:latin typeface="Calibri" panose="020F0502020204030204" pitchFamily="34" charset="0"/>
              <a:cs typeface="Calibri" panose="020F0502020204030204" pitchFamily="34" charset="0"/>
            </a:rPr>
            <a:t> </a:t>
          </a:r>
          <a:r>
            <a:rPr lang="en-US" sz="1600">
              <a:solidFill>
                <a:schemeClr val="bg1"/>
              </a:solidFill>
            </a:rPr>
            <a:t>Loan Composition</a:t>
          </a:r>
          <a:r>
            <a:rPr lang="en-US" sz="1600" baseline="0">
              <a:solidFill>
                <a:schemeClr val="bg1"/>
              </a:solidFill>
            </a:rPr>
            <a:t> </a:t>
          </a:r>
          <a:r>
            <a:rPr lang="en-US" sz="1600">
              <a:solidFill>
                <a:schemeClr val="bg1"/>
              </a:solidFill>
            </a:rPr>
            <a:t>Breakdown </a:t>
          </a:r>
          <a:endParaRPr lang="en-US" sz="1800" b="1">
            <a:solidFill>
              <a:schemeClr val="bg1"/>
            </a:solidFill>
            <a:latin typeface="Calibri" panose="020F0502020204030204" pitchFamily="34" charset="0"/>
            <a:cs typeface="Calibri" panose="020F0502020204030204" pitchFamily="34" charset="0"/>
          </a:endParaRPr>
        </a:p>
      </xdr:txBody>
    </xdr:sp>
    <xdr:clientData/>
  </xdr:twoCellAnchor>
  <xdr:twoCellAnchor>
    <xdr:from>
      <xdr:col>5</xdr:col>
      <xdr:colOff>372533</xdr:colOff>
      <xdr:row>17</xdr:row>
      <xdr:rowOff>203201</xdr:rowOff>
    </xdr:from>
    <xdr:to>
      <xdr:col>6</xdr:col>
      <xdr:colOff>558800</xdr:colOff>
      <xdr:row>19</xdr:row>
      <xdr:rowOff>33866</xdr:rowOff>
    </xdr:to>
    <xdr:sp macro="" textlink="">
      <xdr:nvSpPr>
        <xdr:cNvPr id="28" name="TextBox 27">
          <a:extLst>
            <a:ext uri="{FF2B5EF4-FFF2-40B4-BE49-F238E27FC236}">
              <a16:creationId xmlns:a16="http://schemas.microsoft.com/office/drawing/2014/main" id="{906E3D06-2C3B-0AFB-AB02-4B183537E20F}"/>
            </a:ext>
          </a:extLst>
        </xdr:cNvPr>
        <xdr:cNvSpPr txBox="1"/>
      </xdr:nvSpPr>
      <xdr:spPr>
        <a:xfrm>
          <a:off x="5113866" y="4233334"/>
          <a:ext cx="1134534" cy="304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months approx</a:t>
          </a:r>
        </a:p>
      </xdr:txBody>
    </xdr:sp>
    <xdr:clientData/>
  </xdr:twoCellAnchor>
  <xdr:twoCellAnchor>
    <xdr:from>
      <xdr:col>10</xdr:col>
      <xdr:colOff>853621</xdr:colOff>
      <xdr:row>25</xdr:row>
      <xdr:rowOff>10656</xdr:rowOff>
    </xdr:from>
    <xdr:to>
      <xdr:col>19</xdr:col>
      <xdr:colOff>34324</xdr:colOff>
      <xdr:row>46</xdr:row>
      <xdr:rowOff>163342</xdr:rowOff>
    </xdr:to>
    <xdr:graphicFrame macro="">
      <xdr:nvGraphicFramePr>
        <xdr:cNvPr id="39" name="Chart 38">
          <a:extLst>
            <a:ext uri="{FF2B5EF4-FFF2-40B4-BE49-F238E27FC236}">
              <a16:creationId xmlns:a16="http://schemas.microsoft.com/office/drawing/2014/main" id="{E2F9FB57-0043-B14A-97BF-55D99F22C0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73822</xdr:colOff>
      <xdr:row>44</xdr:row>
      <xdr:rowOff>184023</xdr:rowOff>
    </xdr:from>
    <xdr:to>
      <xdr:col>14</xdr:col>
      <xdr:colOff>593419</xdr:colOff>
      <xdr:row>45</xdr:row>
      <xdr:rowOff>206501</xdr:rowOff>
    </xdr:to>
    <xdr:sp macro="" textlink="">
      <xdr:nvSpPr>
        <xdr:cNvPr id="37" name="TextBox 36">
          <a:extLst>
            <a:ext uri="{FF2B5EF4-FFF2-40B4-BE49-F238E27FC236}">
              <a16:creationId xmlns:a16="http://schemas.microsoft.com/office/drawing/2014/main" id="{AA6F1AB0-FAED-F9C6-3985-E0A66D41257C}"/>
            </a:ext>
          </a:extLst>
        </xdr:cNvPr>
        <xdr:cNvSpPr txBox="1"/>
      </xdr:nvSpPr>
      <xdr:spPr>
        <a:xfrm>
          <a:off x="12481337" y="10344023"/>
          <a:ext cx="1474021" cy="253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solidFill>
            </a:rPr>
            <a:t>Education Period</a:t>
          </a:r>
        </a:p>
        <a:p>
          <a:endParaRPr lang="en-US" sz="1200">
            <a:solidFill>
              <a:schemeClr val="bg1"/>
            </a:solidFill>
          </a:endParaRPr>
        </a:p>
      </xdr:txBody>
    </xdr:sp>
    <xdr:clientData/>
  </xdr:twoCellAnchor>
  <xdr:twoCellAnchor>
    <xdr:from>
      <xdr:col>15</xdr:col>
      <xdr:colOff>648717</xdr:colOff>
      <xdr:row>44</xdr:row>
      <xdr:rowOff>173834</xdr:rowOff>
    </xdr:from>
    <xdr:to>
      <xdr:col>17</xdr:col>
      <xdr:colOff>653664</xdr:colOff>
      <xdr:row>46</xdr:row>
      <xdr:rowOff>7723</xdr:rowOff>
    </xdr:to>
    <xdr:sp macro="" textlink="">
      <xdr:nvSpPr>
        <xdr:cNvPr id="38" name="TextBox 37">
          <a:extLst>
            <a:ext uri="{FF2B5EF4-FFF2-40B4-BE49-F238E27FC236}">
              <a16:creationId xmlns:a16="http://schemas.microsoft.com/office/drawing/2014/main" id="{BE533FE0-9BB2-D14F-9A82-300C69185017}"/>
            </a:ext>
          </a:extLst>
        </xdr:cNvPr>
        <xdr:cNvSpPr txBox="1"/>
      </xdr:nvSpPr>
      <xdr:spPr>
        <a:xfrm>
          <a:off x="14936217" y="10232234"/>
          <a:ext cx="1909947" cy="2910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bg1"/>
              </a:solidFill>
            </a:rPr>
            <a:t>Grace Period to start</a:t>
          </a:r>
          <a:r>
            <a:rPr lang="en-US" sz="1200" baseline="0">
              <a:solidFill>
                <a:schemeClr val="bg1"/>
              </a:solidFill>
            </a:rPr>
            <a:t> EMIs</a:t>
          </a:r>
          <a:endParaRPr lang="en-US" sz="1200">
            <a:solidFill>
              <a:schemeClr val="bg1"/>
            </a:solidFill>
          </a:endParaRPr>
        </a:p>
        <a:p>
          <a:endParaRPr lang="en-US" sz="1200">
            <a:solidFill>
              <a:schemeClr val="bg1"/>
            </a:solidFill>
          </a:endParaRPr>
        </a:p>
      </xdr:txBody>
    </xdr:sp>
    <xdr:clientData/>
  </xdr:twoCellAnchor>
  <xdr:twoCellAnchor>
    <xdr:from>
      <xdr:col>11</xdr:col>
      <xdr:colOff>877455</xdr:colOff>
      <xdr:row>43</xdr:row>
      <xdr:rowOff>100061</xdr:rowOff>
    </xdr:from>
    <xdr:to>
      <xdr:col>15</xdr:col>
      <xdr:colOff>746609</xdr:colOff>
      <xdr:row>44</xdr:row>
      <xdr:rowOff>153940</xdr:rowOff>
    </xdr:to>
    <xdr:sp macro="" textlink="">
      <xdr:nvSpPr>
        <xdr:cNvPr id="40" name="Left Brace 39">
          <a:extLst>
            <a:ext uri="{FF2B5EF4-FFF2-40B4-BE49-F238E27FC236}">
              <a16:creationId xmlns:a16="http://schemas.microsoft.com/office/drawing/2014/main" id="{2F021C6F-ED35-46F8-EB22-781F2EBC1CB6}"/>
            </a:ext>
          </a:extLst>
        </xdr:cNvPr>
        <xdr:cNvSpPr/>
      </xdr:nvSpPr>
      <xdr:spPr>
        <a:xfrm rot="16200000">
          <a:off x="13077154" y="8328120"/>
          <a:ext cx="284788" cy="3686851"/>
        </a:xfrm>
        <a:prstGeom prst="leftBrace">
          <a:avLst/>
        </a:prstGeom>
        <a:ln>
          <a:solidFill>
            <a:schemeClr val="bg1"/>
          </a:solidFill>
        </a:ln>
      </xdr:spPr>
      <xdr:style>
        <a:lnRef idx="2">
          <a:schemeClr val="accent1"/>
        </a:lnRef>
        <a:fillRef idx="0">
          <a:schemeClr val="accent1"/>
        </a:fillRef>
        <a:effectRef idx="1">
          <a:schemeClr val="accent1"/>
        </a:effectRef>
        <a:fontRef idx="minor">
          <a:schemeClr val="tx1"/>
        </a:fontRef>
      </xdr:style>
      <xdr:txBody>
        <a:bodyPr rtlCol="0" anchor="ctr"/>
        <a:lstStyle/>
        <a:p>
          <a:pPr algn="l"/>
          <a:endParaRPr lang="en-US" sz="1100"/>
        </a:p>
      </xdr:txBody>
    </xdr:sp>
    <xdr:clientData/>
  </xdr:twoCellAnchor>
  <xdr:twoCellAnchor editAs="oneCell">
    <xdr:from>
      <xdr:col>18</xdr:col>
      <xdr:colOff>105866</xdr:colOff>
      <xdr:row>4</xdr:row>
      <xdr:rowOff>92730</xdr:rowOff>
    </xdr:from>
    <xdr:to>
      <xdr:col>18</xdr:col>
      <xdr:colOff>797228</xdr:colOff>
      <xdr:row>7</xdr:row>
      <xdr:rowOff>106419</xdr:rowOff>
    </xdr:to>
    <xdr:pic macro="[0]!Graphic42_Click">
      <xdr:nvPicPr>
        <xdr:cNvPr id="43" name="Graphic 42" descr="Home outline">
          <a:extLst>
            <a:ext uri="{FF2B5EF4-FFF2-40B4-BE49-F238E27FC236}">
              <a16:creationId xmlns:a16="http://schemas.microsoft.com/office/drawing/2014/main" id="{1E966BC9-C8AC-AE94-A4E0-DF6A0DF7DEA8}"/>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7292581" y="1019737"/>
          <a:ext cx="691362" cy="708945"/>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0.05514</cdr:x>
      <cdr:y>0.03556</cdr:y>
    </cdr:from>
    <cdr:to>
      <cdr:x>0.54012</cdr:x>
      <cdr:y>0.14641</cdr:y>
    </cdr:to>
    <cdr:sp macro="" textlink="">
      <cdr:nvSpPr>
        <cdr:cNvPr id="2" name="TextBox 1">
          <a:extLst xmlns:a="http://schemas.openxmlformats.org/drawingml/2006/main">
            <a:ext uri="{FF2B5EF4-FFF2-40B4-BE49-F238E27FC236}">
              <a16:creationId xmlns:a16="http://schemas.microsoft.com/office/drawing/2014/main" id="{17F2064B-7098-D7F4-61ED-971B98E88000}"/>
            </a:ext>
          </a:extLst>
        </cdr:cNvPr>
        <cdr:cNvSpPr txBox="1"/>
      </cdr:nvSpPr>
      <cdr:spPr>
        <a:xfrm xmlns:a="http://schemas.openxmlformats.org/drawingml/2006/main">
          <a:off x="207829" y="86896"/>
          <a:ext cx="1828019" cy="27086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indent="0"/>
          <a:r>
            <a:rPr lang="en-US" sz="1600" b="0" kern="1200">
              <a:solidFill>
                <a:schemeClr val="bg1"/>
              </a:solidFill>
              <a:latin typeface="Calibri" panose="020F0502020204030204" pitchFamily="34" charset="0"/>
              <a:ea typeface="+mn-ea"/>
              <a:cs typeface="Calibri" panose="020F0502020204030204" pitchFamily="34" charset="0"/>
            </a:rPr>
            <a:t>Principal vs Interest</a:t>
          </a:r>
        </a:p>
      </cdr:txBody>
    </cdr:sp>
  </cdr:relSizeAnchor>
</c:userShapes>
</file>

<file path=xl/drawings/drawing3.xml><?xml version="1.0" encoding="utf-8"?>
<c:userShapes xmlns:c="http://schemas.openxmlformats.org/drawingml/2006/chart">
  <cdr:relSizeAnchor xmlns:cdr="http://schemas.openxmlformats.org/drawingml/2006/chartDrawing">
    <cdr:from>
      <cdr:x>0.61664</cdr:x>
      <cdr:y>0.84791</cdr:y>
    </cdr:from>
    <cdr:to>
      <cdr:x>0.85453</cdr:x>
      <cdr:y>0.90659</cdr:y>
    </cdr:to>
    <cdr:sp macro="" textlink="">
      <cdr:nvSpPr>
        <cdr:cNvPr id="4" name="Left Brace 3">
          <a:extLst xmlns:a="http://schemas.openxmlformats.org/drawingml/2006/main">
            <a:ext uri="{FF2B5EF4-FFF2-40B4-BE49-F238E27FC236}">
              <a16:creationId xmlns:a16="http://schemas.microsoft.com/office/drawing/2014/main" id="{2FE30B10-4BF6-2643-4D86-D561A5EBF1B3}"/>
            </a:ext>
          </a:extLst>
        </cdr:cNvPr>
        <cdr:cNvSpPr/>
      </cdr:nvSpPr>
      <cdr:spPr>
        <a:xfrm xmlns:a="http://schemas.openxmlformats.org/drawingml/2006/main" rot="16200000">
          <a:off x="5474244" y="3517735"/>
          <a:ext cx="296126" cy="1818209"/>
        </a:xfrm>
        <a:prstGeom xmlns:a="http://schemas.openxmlformats.org/drawingml/2006/main" prst="leftBrace">
          <a:avLst/>
        </a:prstGeom>
        <a:ln xmlns:a="http://schemas.openxmlformats.org/drawingml/2006/main">
          <a:solidFill>
            <a:schemeClr val="bg1"/>
          </a:solidFill>
        </a:ln>
      </cdr:spPr>
      <cdr:style>
        <a:lnRef xmlns:a="http://schemas.openxmlformats.org/drawingml/2006/main" idx="2">
          <a:schemeClr val="accent1"/>
        </a:lnRef>
        <a:fillRef xmlns:a="http://schemas.openxmlformats.org/drawingml/2006/main" idx="0">
          <a:schemeClr val="accent1"/>
        </a:fillRef>
        <a:effectRef xmlns:a="http://schemas.openxmlformats.org/drawingml/2006/main" idx="1">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en-US" kern="1200"/>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ekshith Gadi" refreshedDate="45783.587253703707" createdVersion="8" refreshedVersion="8" minRefreshableVersion="3" recordCount="37" xr:uid="{8CDA64A5-E37A-6542-9F2A-0954F21699C2}">
  <cacheSource type="worksheet">
    <worksheetSource name="Table6"/>
  </cacheSource>
  <cacheFields count="25">
    <cacheField name="Sr.No." numFmtId="0">
      <sharedItems containsSemiMixedTypes="0" containsString="0" containsNumber="1" containsInteger="1" minValue="1" maxValue="37"/>
    </cacheField>
    <cacheField name="Due Date" numFmtId="14">
      <sharedItems containsSemiMixedTypes="0" containsNonDate="0" containsDate="1" containsString="0" minDate="1946-06-27T00:00:00" maxDate="2026-11-13T00:00:00" count="38">
        <d v="2023-11-12T00:00:00"/>
        <d v="2024-11-01T00:00:00"/>
        <d v="2024-11-02T00:00:00"/>
        <d v="2024-11-03T00:00:00"/>
        <d v="2024-11-04T00:00:00"/>
        <d v="2024-11-05T00:00:00"/>
        <d v="2024-11-06T00:00:00"/>
        <d v="2024-11-07T00:00:00"/>
        <d v="2024-11-08T00:00:00"/>
        <d v="2024-11-09T00:00:00"/>
        <d v="2024-11-10T00:00:00"/>
        <d v="2024-11-11T00:00:00"/>
        <d v="2024-11-12T00:00:00"/>
        <d v="2025-11-01T00:00:00"/>
        <d v="2025-11-02T00:00:00"/>
        <d v="2025-11-03T00:00:00"/>
        <d v="2025-11-04T00:00:00"/>
        <d v="2025-11-05T00:00:00"/>
        <d v="2025-11-06T00:00:00"/>
        <d v="2025-11-07T00:00:00"/>
        <d v="2025-11-08T00:00:00"/>
        <d v="2025-11-09T00:00:00"/>
        <d v="2025-11-10T00:00:00"/>
        <d v="2025-11-11T00:00:00"/>
        <d v="2025-11-12T00:00:00"/>
        <d v="2026-11-01T00:00:00"/>
        <d v="2026-11-02T00:00:00"/>
        <d v="2026-11-03T00:00:00"/>
        <d v="2026-11-04T00:00:00"/>
        <d v="2026-11-05T00:00:00"/>
        <d v="2026-11-06T00:00:00"/>
        <d v="2026-11-07T00:00:00"/>
        <d v="2026-11-08T00:00:00"/>
        <d v="2026-11-09T00:00:00"/>
        <d v="2026-11-10T00:00:00"/>
        <d v="2026-11-11T00:00:00"/>
        <d v="2026-11-12T00:00:00"/>
        <d v="1946-06-27T00:00:00" u="1"/>
      </sharedItems>
      <fieldGroup par="21"/>
    </cacheField>
    <cacheField name="Date in (MM/DD/YY)" numFmtId="14">
      <sharedItems containsSemiMixedTypes="0" containsNonDate="0" containsDate="1" containsString="0" minDate="1948-03-06T00:00:00" maxDate="2026-12-12T00:00:00" count="38">
        <d v="2023-12-11T00:00:00"/>
        <d v="2024-01-11T00:00:00"/>
        <d v="2024-02-11T00:00:00"/>
        <d v="2024-03-11T00:00:00"/>
        <d v="2024-04-11T00:00:00"/>
        <d v="2024-05-11T00:00:00"/>
        <d v="2024-06-11T00:00:00"/>
        <d v="2024-07-11T00:00:00"/>
        <d v="2024-08-11T00:00:00"/>
        <d v="2024-09-11T00:00:00"/>
        <d v="2024-10-11T00:00:00"/>
        <d v="2024-11-11T00:00:00"/>
        <d v="2024-12-11T00:00:00"/>
        <d v="2025-01-11T00:00:00"/>
        <d v="2025-02-11T00:00:00"/>
        <d v="2025-03-11T00:00:00"/>
        <d v="2025-04-11T00:00:00"/>
        <d v="2025-05-11T00:00:00"/>
        <d v="2025-06-11T00:00:00"/>
        <d v="2025-07-11T00:00:00"/>
        <d v="2025-08-11T00:00:00"/>
        <d v="2025-09-11T00:00:00"/>
        <d v="2025-10-11T00:00:00"/>
        <d v="2025-11-11T00:00:00"/>
        <d v="2025-12-11T00:00:00"/>
        <d v="2026-01-11T00:00:00"/>
        <d v="2026-02-11T00:00:00"/>
        <d v="2026-03-11T00:00:00"/>
        <d v="2026-04-11T00:00:00"/>
        <d v="2026-05-11T00:00:00"/>
        <d v="2026-06-11T00:00:00"/>
        <d v="2026-07-11T00:00:00"/>
        <d v="2026-08-11T00:00:00"/>
        <d v="2026-09-11T00:00:00"/>
        <d v="2026-10-11T00:00:00"/>
        <d v="2026-11-11T00:00:00"/>
        <d v="2026-12-11T00:00:00"/>
        <d v="1948-03-06T00:00:00" u="1"/>
      </sharedItems>
      <fieldGroup par="24"/>
    </cacheField>
    <cacheField name="Month" numFmtId="0">
      <sharedItems count="12">
        <s v="December"/>
        <s v="January"/>
        <s v="February"/>
        <s v="March"/>
        <s v="April"/>
        <s v="May"/>
        <s v="June"/>
        <s v="July"/>
        <s v="August"/>
        <s v="September"/>
        <s v="October"/>
        <s v="November"/>
      </sharedItems>
    </cacheField>
    <cacheField name="Year" numFmtId="0">
      <sharedItems containsSemiMixedTypes="0" containsString="0" containsNumber="1" containsInteger="1" minValue="1948" maxValue="2026" count="5">
        <n v="2023"/>
        <n v="2024"/>
        <n v="2025"/>
        <n v="2026"/>
        <n v="1948" u="1"/>
      </sharedItems>
    </cacheField>
    <cacheField name="Payment Due" numFmtId="164">
      <sharedItems containsSemiMixedTypes="0" containsString="0" containsNumber="1" containsInteger="1" minValue="1545" maxValue="3545"/>
    </cacheField>
    <cacheField name="Interest" numFmtId="164">
      <sharedItems containsSemiMixedTypes="0" containsString="0" containsNumber="1" containsInteger="1" minValue="5369" maxValue="46674"/>
    </cacheField>
    <cacheField name="Principal Paid" numFmtId="164">
      <sharedItems containsSemiMixedTypes="0" containsString="0" containsNumber="1" containsInteger="1" minValue="0" maxValue="0"/>
    </cacheField>
    <cacheField name="Interest Accrued" numFmtId="164">
      <sharedItems containsSemiMixedTypes="0" containsString="0" containsNumber="1" minValue="3824" maxValue="1088728"/>
    </cacheField>
    <cacheField name="Total Outstanding" numFmtId="164">
      <sharedItems containsSemiMixedTypes="0" containsString="0" containsNumber="1" containsInteger="1" minValue="1549136" maxValue="4634040"/>
    </cacheField>
    <cacheField name="Principal " numFmtId="164">
      <sharedItems containsSemiMixedTypes="0" containsString="0" containsNumber="1" containsInteger="1" minValue="1545312" maxValue="3545312"/>
    </cacheField>
    <cacheField name="Total Interest need to paid" numFmtId="164">
      <sharedItems containsSemiMixedTypes="0" containsString="0" containsNumber="1" containsInteger="1" minValue="5369" maxValue="1193895"/>
    </cacheField>
    <cacheField name="Cumulative Interest Paid" numFmtId="164">
      <sharedItems containsSemiMixedTypes="0" containsString="0" containsNumber="1" containsInteger="1" minValue="1545" maxValue="105165"/>
    </cacheField>
    <cacheField name="APR" numFmtId="166">
      <sharedItems containsSemiMixedTypes="0" containsString="0" containsNumber="1" minValue="0.12" maxValue="0.122"/>
    </cacheField>
    <cacheField name="Monthly intrest rate" numFmtId="10">
      <sharedItems containsSemiMixedTypes="0" containsString="0" containsNumber="1" minValue="0.01" maxValue="1.0166666666666666E-2"/>
    </cacheField>
    <cacheField name="Slider" numFmtId="165">
      <sharedItems containsSemiMixedTypes="0" containsString="0" containsNumber="1" containsInteger="1" minValue="4000" maxValue="4000"/>
    </cacheField>
    <cacheField name="payment" numFmtId="165">
      <sharedItems containsSemiMixedTypes="0" containsString="0" containsNumber="1" containsInteger="1" minValue="80000" maxValue="80000"/>
    </cacheField>
    <cacheField name="how many months it takes to repay" numFmtId="0">
      <sharedItems containsSemiMixedTypes="0" containsString="0" containsNumber="1" minValue="21.630181903571959" maxValue="87.880569113433964"/>
    </cacheField>
    <cacheField name="loan disber" numFmtId="165">
      <sharedItems containsSemiMixedTypes="0" containsString="0" containsNumber="1" containsInteger="1" minValue="0" maxValue="2000000"/>
    </cacheField>
    <cacheField name="Months (Due Date)" numFmtId="0" databaseField="0">
      <fieldGroup base="1">
        <rangePr groupBy="months" startDate="2023-11-12T00:00:00" endDate="2026-11-13T00:00:00"/>
        <groupItems count="14">
          <s v="&lt;11/12/23"/>
          <s v="Jan"/>
          <s v="Feb"/>
          <s v="Mar"/>
          <s v="Apr"/>
          <s v="May"/>
          <s v="Jun"/>
          <s v="Jul"/>
          <s v="Aug"/>
          <s v="Sep"/>
          <s v="Oct"/>
          <s v="Nov"/>
          <s v="Dec"/>
          <s v="&gt;11/13/26"/>
        </groupItems>
      </fieldGroup>
    </cacheField>
    <cacheField name="Quarters (Due Date)" numFmtId="0" databaseField="0">
      <fieldGroup base="1">
        <rangePr groupBy="quarters" startDate="2023-11-12T00:00:00" endDate="2026-11-13T00:00:00"/>
        <groupItems count="6">
          <s v="&lt;11/12/23"/>
          <s v="Qtr1"/>
          <s v="Qtr2"/>
          <s v="Qtr3"/>
          <s v="Qtr4"/>
          <s v="&gt;11/13/26"/>
        </groupItems>
      </fieldGroup>
    </cacheField>
    <cacheField name="Years (Due Date)" numFmtId="0" databaseField="0">
      <fieldGroup base="1">
        <rangePr groupBy="years" startDate="2023-11-12T00:00:00" endDate="2026-11-13T00:00:00"/>
        <groupItems count="6">
          <s v="&lt;11/12/23"/>
          <s v="2023"/>
          <s v="2024"/>
          <s v="2025"/>
          <s v="2026"/>
          <s v="&gt;11/13/26"/>
        </groupItems>
      </fieldGroup>
    </cacheField>
    <cacheField name="Months (Date in (MM/DD/YY))" numFmtId="0" databaseField="0">
      <fieldGroup base="2">
        <rangePr groupBy="months" startDate="2023-12-11T00:00:00" endDate="2026-12-12T00:00:00"/>
        <groupItems count="14">
          <s v="&lt;12/11/23"/>
          <s v="Jan"/>
          <s v="Feb"/>
          <s v="Mar"/>
          <s v="Apr"/>
          <s v="May"/>
          <s v="Jun"/>
          <s v="Jul"/>
          <s v="Aug"/>
          <s v="Sep"/>
          <s v="Oct"/>
          <s v="Nov"/>
          <s v="Dec"/>
          <s v="&gt;12/12/26"/>
        </groupItems>
      </fieldGroup>
    </cacheField>
    <cacheField name="Quarters (Date in (MM/DD/YY))" numFmtId="0" databaseField="0">
      <fieldGroup base="2">
        <rangePr groupBy="quarters" startDate="2023-12-11T00:00:00" endDate="2026-12-12T00:00:00"/>
        <groupItems count="6">
          <s v="&lt;12/11/23"/>
          <s v="Qtr1"/>
          <s v="Qtr2"/>
          <s v="Qtr3"/>
          <s v="Qtr4"/>
          <s v="&gt;12/12/26"/>
        </groupItems>
      </fieldGroup>
    </cacheField>
    <cacheField name="Years (Date in (MM/DD/YY))" numFmtId="0" databaseField="0">
      <fieldGroup base="2">
        <rangePr groupBy="years" startDate="2023-12-11T00:00:00" endDate="2026-12-12T00:00:00"/>
        <groupItems count="6">
          <s v="&lt;12/11/23"/>
          <s v="2023"/>
          <s v="2024"/>
          <s v="2025"/>
          <s v="2026"/>
          <s v="&gt;12/12/26"/>
        </groupItems>
      </fieldGroup>
    </cacheField>
  </cacheFields>
  <extLst>
    <ext xmlns:x14="http://schemas.microsoft.com/office/spreadsheetml/2009/9/main" uri="{725AE2AE-9491-48be-B2B4-4EB974FC3084}">
      <x14:pivotCacheDefinition pivotCacheId="3243732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
  <r>
    <n v="1"/>
    <x v="0"/>
    <x v="0"/>
    <x v="0"/>
    <x v="0"/>
    <n v="1545"/>
    <n v="5369"/>
    <n v="0"/>
    <n v="3824"/>
    <n v="1549136"/>
    <n v="1545312"/>
    <n v="5369"/>
    <n v="1545"/>
    <n v="0.12"/>
    <n v="0.01"/>
    <n v="4000"/>
    <n v="80000"/>
    <n v="21.630181903571959"/>
    <n v="1545312"/>
  </r>
  <r>
    <n v="2"/>
    <x v="1"/>
    <x v="1"/>
    <x v="1"/>
    <x v="1"/>
    <n v="1545"/>
    <n v="15491"/>
    <n v="0"/>
    <n v="17770.36"/>
    <n v="1563082"/>
    <n v="1545312"/>
    <n v="20860"/>
    <n v="3090"/>
    <n v="0.12"/>
    <n v="0.01"/>
    <n v="4000"/>
    <n v="80000"/>
    <n v="21.847684338534808"/>
    <n v="0"/>
  </r>
  <r>
    <n v="3"/>
    <x v="2"/>
    <x v="2"/>
    <x v="2"/>
    <x v="1"/>
    <n v="1545"/>
    <n v="15631"/>
    <n v="0"/>
    <n v="31856.1836"/>
    <n v="1577168"/>
    <n v="1545312"/>
    <n v="36491"/>
    <n v="4635"/>
    <n v="0.12"/>
    <n v="0.01"/>
    <n v="4000"/>
    <n v="80000"/>
    <n v="22.067849098526196"/>
    <n v="0"/>
  </r>
  <r>
    <n v="4"/>
    <x v="3"/>
    <x v="3"/>
    <x v="3"/>
    <x v="1"/>
    <n v="1545"/>
    <n v="15772"/>
    <n v="0"/>
    <n v="46082.865436"/>
    <n v="1591395"/>
    <n v="1545312"/>
    <n v="52263"/>
    <n v="6180"/>
    <n v="0.12"/>
    <n v="0.01"/>
    <n v="4000"/>
    <n v="80000"/>
    <n v="22.290708360350582"/>
    <n v="0"/>
  </r>
  <r>
    <n v="5"/>
    <x v="4"/>
    <x v="4"/>
    <x v="4"/>
    <x v="1"/>
    <n v="1545"/>
    <n v="15914"/>
    <n v="0"/>
    <n v="60451.81409036"/>
    <n v="1605764"/>
    <n v="1545312"/>
    <n v="68177"/>
    <n v="7725"/>
    <n v="0.12"/>
    <n v="0.01"/>
    <n v="4000"/>
    <n v="80000"/>
    <n v="22.516294726947947"/>
    <n v="0"/>
  </r>
  <r>
    <n v="6"/>
    <x v="5"/>
    <x v="5"/>
    <x v="5"/>
    <x v="1"/>
    <n v="1545"/>
    <n v="16058"/>
    <n v="0"/>
    <n v="74964.452231263596"/>
    <n v="1620276"/>
    <n v="1545312"/>
    <n v="84235"/>
    <n v="9270"/>
    <n v="0.12"/>
    <n v="0.01"/>
    <n v="4000"/>
    <n v="80000"/>
    <n v="22.744641237222485"/>
    <n v="0"/>
  </r>
  <r>
    <n v="7"/>
    <x v="6"/>
    <x v="6"/>
    <x v="6"/>
    <x v="1"/>
    <n v="1545"/>
    <n v="16203"/>
    <n v="0"/>
    <n v="89622.216753576198"/>
    <n v="1634934"/>
    <n v="1545312"/>
    <n v="100438"/>
    <n v="10815"/>
    <n v="0.12"/>
    <n v="0.01"/>
    <n v="4000"/>
    <n v="80000"/>
    <n v="22.975812954484596"/>
    <n v="0"/>
  </r>
  <r>
    <n v="8"/>
    <x v="7"/>
    <x v="7"/>
    <x v="7"/>
    <x v="1"/>
    <n v="1545"/>
    <n v="16349"/>
    <n v="0"/>
    <n v="104426.558921112"/>
    <n v="1649739"/>
    <n v="1545312"/>
    <n v="116787"/>
    <n v="12360"/>
    <n v="0.12"/>
    <n v="0.01"/>
    <n v="4000"/>
    <n v="80000"/>
    <n v="23.209844040932456"/>
    <n v="0"/>
  </r>
  <r>
    <n v="9"/>
    <x v="8"/>
    <x v="8"/>
    <x v="8"/>
    <x v="1"/>
    <n v="1545"/>
    <n v="16497"/>
    <n v="0"/>
    <n v="119378.944510323"/>
    <n v="1664691"/>
    <n v="1545312"/>
    <n v="133284"/>
    <n v="13905"/>
    <n v="0.12"/>
    <n v="0.01"/>
    <n v="4000"/>
    <n v="80000"/>
    <n v="23.446753268939464"/>
    <n v="0"/>
  </r>
  <r>
    <n v="10"/>
    <x v="9"/>
    <x v="9"/>
    <x v="9"/>
    <x v="1"/>
    <n v="1545"/>
    <n v="16647"/>
    <n v="0"/>
    <n v="134480.85395542599"/>
    <n v="1679793"/>
    <n v="1545312"/>
    <n v="149931"/>
    <n v="15450"/>
    <n v="0.12"/>
    <n v="0.01"/>
    <n v="4000"/>
    <n v="80000"/>
    <n v="23.686607447615152"/>
    <n v="0"/>
  </r>
  <r>
    <n v="11"/>
    <x v="10"/>
    <x v="10"/>
    <x v="10"/>
    <x v="1"/>
    <n v="1545"/>
    <n v="16798"/>
    <n v="0"/>
    <n v="149733.78249498099"/>
    <n v="1695046"/>
    <n v="1545312"/>
    <n v="166729"/>
    <n v="16995"/>
    <n v="0.12"/>
    <n v="0.01"/>
    <n v="4000"/>
    <n v="80000"/>
    <n v="23.929442307010657"/>
    <n v="0"/>
  </r>
  <r>
    <n v="12"/>
    <x v="11"/>
    <x v="11"/>
    <x v="11"/>
    <x v="1"/>
    <n v="1545"/>
    <n v="17233"/>
    <n v="0"/>
    <n v="165422"/>
    <n v="1710734"/>
    <n v="1545312"/>
    <n v="183962"/>
    <n v="18540"/>
    <n v="0.122"/>
    <n v="1.0166666666666666E-2"/>
    <n v="4000"/>
    <n v="80000"/>
    <n v="24.234588801554942"/>
    <n v="0"/>
  </r>
  <r>
    <n v="13"/>
    <x v="12"/>
    <x v="12"/>
    <x v="0"/>
    <x v="1"/>
    <n v="1545"/>
    <n v="17392"/>
    <n v="0"/>
    <n v="181269"/>
    <n v="1726581"/>
    <n v="1545312"/>
    <n v="201354"/>
    <n v="20085"/>
    <n v="0.122"/>
    <n v="1.0166666666666666E-2"/>
    <n v="4000"/>
    <n v="80000"/>
    <n v="24.489317689104656"/>
    <n v="0"/>
  </r>
  <r>
    <n v="14"/>
    <x v="13"/>
    <x v="13"/>
    <x v="1"/>
    <x v="2"/>
    <n v="3545"/>
    <n v="21489"/>
    <n v="0"/>
    <n v="199213"/>
    <n v="3744525"/>
    <n v="3545312"/>
    <n v="222843"/>
    <n v="23630"/>
    <n v="0.122"/>
    <n v="1.0166666666666666E-2"/>
    <n v="4000"/>
    <n v="80000"/>
    <n v="63.864355839151365"/>
    <n v="2000000"/>
  </r>
  <r>
    <n v="15"/>
    <x v="14"/>
    <x v="14"/>
    <x v="2"/>
    <x v="2"/>
    <n v="3545"/>
    <n v="38069"/>
    <n v="0"/>
    <n v="233737"/>
    <n v="3779049"/>
    <n v="3545312"/>
    <n v="260912"/>
    <n v="27175"/>
    <n v="0.122"/>
    <n v="1.0166666666666666E-2"/>
    <n v="4000"/>
    <n v="80000"/>
    <n v="64.695376505497137"/>
    <n v="0"/>
  </r>
  <r>
    <n v="16"/>
    <x v="15"/>
    <x v="15"/>
    <x v="3"/>
    <x v="2"/>
    <n v="3545"/>
    <n v="38421"/>
    <n v="0"/>
    <n v="268613"/>
    <n v="3813925"/>
    <n v="3545312"/>
    <n v="299333"/>
    <n v="30720"/>
    <n v="0.122"/>
    <n v="1.0166666666666666E-2"/>
    <n v="4000"/>
    <n v="80000"/>
    <n v="65.542023482271077"/>
    <n v="0"/>
  </r>
  <r>
    <n v="17"/>
    <x v="16"/>
    <x v="16"/>
    <x v="4"/>
    <x v="2"/>
    <n v="3545"/>
    <n v="38775"/>
    <n v="0"/>
    <n v="303843"/>
    <n v="3849155"/>
    <n v="3545312"/>
    <n v="338108"/>
    <n v="34265"/>
    <n v="0.122"/>
    <n v="1.0166666666666666E-2"/>
    <n v="4000"/>
    <n v="80000"/>
    <n v="66.404689758497298"/>
    <n v="0"/>
  </r>
  <r>
    <n v="18"/>
    <x v="17"/>
    <x v="17"/>
    <x v="5"/>
    <x v="2"/>
    <n v="3545"/>
    <n v="39133"/>
    <n v="0"/>
    <n v="339430"/>
    <n v="3884742"/>
    <n v="3545312"/>
    <n v="377241"/>
    <n v="37810"/>
    <n v="0.122"/>
    <n v="1.0166666666666666E-2"/>
    <n v="4000"/>
    <n v="80000"/>
    <n v="67.283808142583155"/>
    <n v="0"/>
  </r>
  <r>
    <n v="19"/>
    <x v="18"/>
    <x v="18"/>
    <x v="6"/>
    <x v="2"/>
    <n v="3545"/>
    <n v="39495"/>
    <n v="0"/>
    <n v="375380"/>
    <n v="3920692"/>
    <n v="3545312"/>
    <n v="416736"/>
    <n v="41355"/>
    <n v="0.122"/>
    <n v="1.0166666666666666E-2"/>
    <n v="4000"/>
    <n v="80000"/>
    <n v="68.179903255885321"/>
    <n v="0"/>
  </r>
  <r>
    <n v="20"/>
    <x v="19"/>
    <x v="19"/>
    <x v="7"/>
    <x v="2"/>
    <n v="3545"/>
    <n v="39860"/>
    <n v="0"/>
    <n v="411696"/>
    <n v="3957008"/>
    <n v="3545312"/>
    <n v="456596"/>
    <n v="44900"/>
    <n v="0.122"/>
    <n v="1.0166666666666666E-2"/>
    <n v="4000"/>
    <n v="80000"/>
    <n v="69.093444289671098"/>
    <n v="0"/>
  </r>
  <r>
    <n v="21"/>
    <x v="20"/>
    <x v="20"/>
    <x v="8"/>
    <x v="2"/>
    <n v="3545"/>
    <n v="40229"/>
    <n v="0"/>
    <n v="448380"/>
    <n v="3993692"/>
    <n v="3545312"/>
    <n v="496825"/>
    <n v="48445"/>
    <n v="0.122"/>
    <n v="1.0166666666666666E-2"/>
    <n v="4000"/>
    <n v="80000"/>
    <n v="70.024893605307341"/>
    <n v="0"/>
  </r>
  <r>
    <n v="22"/>
    <x v="21"/>
    <x v="21"/>
    <x v="9"/>
    <x v="2"/>
    <n v="3545"/>
    <n v="40603"/>
    <n v="0"/>
    <n v="485438"/>
    <n v="4030750"/>
    <n v="3545312"/>
    <n v="537428"/>
    <n v="51990"/>
    <n v="0.122"/>
    <n v="1.0166666666666666E-2"/>
    <n v="4000"/>
    <n v="80000"/>
    <n v="70.974835327798061"/>
    <n v="0"/>
  </r>
  <r>
    <n v="23"/>
    <x v="22"/>
    <x v="22"/>
    <x v="10"/>
    <x v="2"/>
    <n v="3545"/>
    <n v="40979"/>
    <n v="0"/>
    <n v="522872"/>
    <n v="4068184"/>
    <n v="3545312"/>
    <n v="578407"/>
    <n v="55535"/>
    <n v="0.122"/>
    <n v="1.0166666666666666E-2"/>
    <n v="4000"/>
    <n v="80000"/>
    <n v="71.943773366846685"/>
    <n v="0"/>
  </r>
  <r>
    <n v="24"/>
    <x v="23"/>
    <x v="23"/>
    <x v="11"/>
    <x v="2"/>
    <n v="3545"/>
    <n v="41360"/>
    <n v="0"/>
    <n v="560687"/>
    <n v="4105999"/>
    <n v="3545312"/>
    <n v="619767"/>
    <n v="59080"/>
    <n v="0.122"/>
    <n v="1.0166666666666666E-2"/>
    <n v="4000"/>
    <n v="80000"/>
    <n v="72.932311513681071"/>
    <n v="0"/>
  </r>
  <r>
    <n v="25"/>
    <x v="24"/>
    <x v="24"/>
    <x v="0"/>
    <x v="2"/>
    <n v="3545"/>
    <n v="41745"/>
    <n v="0"/>
    <n v="598886"/>
    <n v="4144198"/>
    <n v="3545312"/>
    <n v="661512"/>
    <n v="62625"/>
    <n v="0.122"/>
    <n v="1.0166666666666666E-2"/>
    <n v="4000"/>
    <n v="80000"/>
    <n v="73.941025973422157"/>
    <n v="0"/>
  </r>
  <r>
    <n v="26"/>
    <x v="25"/>
    <x v="25"/>
    <x v="1"/>
    <x v="3"/>
    <n v="3545"/>
    <n v="42133"/>
    <n v="0"/>
    <n v="637474"/>
    <n v="4182786"/>
    <n v="3545312"/>
    <n v="703645"/>
    <n v="66170"/>
    <n v="0.122"/>
    <n v="1.0166666666666666E-2"/>
    <n v="4000"/>
    <n v="80000"/>
    <n v="74.970571405309045"/>
    <n v="0"/>
  </r>
  <r>
    <n v="27"/>
    <x v="26"/>
    <x v="26"/>
    <x v="2"/>
    <x v="3"/>
    <n v="3545"/>
    <n v="42525"/>
    <n v="0"/>
    <n v="676454"/>
    <n v="4221766"/>
    <n v="3545312"/>
    <n v="746170"/>
    <n v="69715"/>
    <n v="0.122"/>
    <n v="1.0166666666666666E-2"/>
    <n v="4000"/>
    <n v="80000"/>
    <n v="76.021576843507361"/>
    <n v="0"/>
  </r>
  <r>
    <n v="28"/>
    <x v="27"/>
    <x v="27"/>
    <x v="3"/>
    <x v="3"/>
    <n v="3545"/>
    <n v="42921"/>
    <n v="0"/>
    <n v="715830"/>
    <n v="4261142"/>
    <n v="3545312"/>
    <n v="789091"/>
    <n v="73260"/>
    <n v="0.122"/>
    <n v="1.0166666666666666E-2"/>
    <n v="4000"/>
    <n v="80000"/>
    <n v="77.094726721538848"/>
    <n v="0"/>
  </r>
  <r>
    <n v="29"/>
    <x v="28"/>
    <x v="28"/>
    <x v="4"/>
    <x v="3"/>
    <n v="3545"/>
    <n v="43322"/>
    <n v="0"/>
    <n v="755607"/>
    <n v="4300919"/>
    <n v="3545312"/>
    <n v="832413"/>
    <n v="76805"/>
    <n v="0.122"/>
    <n v="1.0166666666666666E-2"/>
    <n v="4000"/>
    <n v="80000"/>
    <n v="78.190764121848702"/>
    <n v="0"/>
  </r>
  <r>
    <n v="30"/>
    <x v="29"/>
    <x v="29"/>
    <x v="5"/>
    <x v="3"/>
    <n v="3545"/>
    <n v="43726"/>
    <n v="0"/>
    <n v="795788"/>
    <n v="4341100"/>
    <n v="3545312"/>
    <n v="876139"/>
    <n v="80350"/>
    <n v="0.122"/>
    <n v="1.0166666666666666E-2"/>
    <n v="4000"/>
    <n v="80000"/>
    <n v="79.31041024029976"/>
    <n v="0"/>
  </r>
  <r>
    <n v="31"/>
    <x v="30"/>
    <x v="30"/>
    <x v="6"/>
    <x v="3"/>
    <n v="3545"/>
    <n v="44134"/>
    <n v="0"/>
    <n v="836377"/>
    <n v="4381689"/>
    <n v="3545312"/>
    <n v="920273"/>
    <n v="83895"/>
    <n v="0.122"/>
    <n v="1.0166666666666666E-2"/>
    <n v="4000"/>
    <n v="80000"/>
    <n v="80.454448392359609"/>
    <n v="0"/>
  </r>
  <r>
    <n v="32"/>
    <x v="31"/>
    <x v="31"/>
    <x v="7"/>
    <x v="3"/>
    <n v="3545"/>
    <n v="44548"/>
    <n v="0"/>
    <n v="877380"/>
    <n v="4422692"/>
    <n v="3545312"/>
    <n v="964821"/>
    <n v="87440"/>
    <n v="0.122"/>
    <n v="1.0166666666666666E-2"/>
    <n v="4000"/>
    <n v="80000"/>
    <n v="81.623756565331519"/>
    <n v="0"/>
  </r>
  <r>
    <n v="33"/>
    <x v="32"/>
    <x v="32"/>
    <x v="8"/>
    <x v="3"/>
    <n v="3545"/>
    <n v="44964"/>
    <n v="0"/>
    <n v="918798"/>
    <n v="4464110"/>
    <n v="3545312"/>
    <n v="1009785"/>
    <n v="90985"/>
    <n v="0.122"/>
    <n v="1.0166666666666666E-2"/>
    <n v="4000"/>
    <n v="80000"/>
    <n v="82.819110130094415"/>
    <n v="0"/>
  </r>
  <r>
    <n v="34"/>
    <x v="33"/>
    <x v="33"/>
    <x v="9"/>
    <x v="3"/>
    <n v="3545"/>
    <n v="45385"/>
    <n v="0"/>
    <n v="960639"/>
    <n v="4505951"/>
    <n v="3545312"/>
    <n v="1055170"/>
    <n v="94530"/>
    <n v="0.122"/>
    <n v="1.0166666666666666E-2"/>
    <n v="4000"/>
    <n v="80000"/>
    <n v="84.041528502208763"/>
    <n v="0"/>
  </r>
  <r>
    <n v="35"/>
    <x v="34"/>
    <x v="34"/>
    <x v="10"/>
    <x v="3"/>
    <n v="3545"/>
    <n v="45810"/>
    <n v="0"/>
    <n v="1002904"/>
    <n v="4548216"/>
    <n v="3545312"/>
    <n v="1100980"/>
    <n v="98075"/>
    <n v="0.122"/>
    <n v="1.0166666666666666E-2"/>
    <n v="4000"/>
    <n v="80000"/>
    <n v="85.291873973993134"/>
    <n v="0"/>
  </r>
  <r>
    <n v="36"/>
    <x v="35"/>
    <x v="35"/>
    <x v="11"/>
    <x v="3"/>
    <n v="3545"/>
    <n v="46241"/>
    <n v="0"/>
    <n v="1045599"/>
    <n v="4590911"/>
    <n v="3545312"/>
    <n v="1147221"/>
    <n v="101620"/>
    <n v="0.122"/>
    <n v="1.0166666666666666E-2"/>
    <n v="4000"/>
    <n v="80000"/>
    <n v="86.571203751718684"/>
    <n v="0"/>
  </r>
  <r>
    <n v="37"/>
    <x v="36"/>
    <x v="36"/>
    <x v="0"/>
    <x v="3"/>
    <n v="3545"/>
    <n v="46674"/>
    <n v="0"/>
    <n v="1088728"/>
    <n v="4634040"/>
    <n v="3545312"/>
    <n v="1193895"/>
    <n v="105165"/>
    <n v="0.122"/>
    <n v="1.0166666666666666E-2"/>
    <n v="4000"/>
    <n v="80000"/>
    <n v="87.880569113433964"/>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E0DFFC-8D3D-B34C-9FCF-715D81EFF332}" name="PivotTable9" cacheId="77"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8">
  <location ref="F11:G25" firstHeaderRow="1" firstDataRow="1" firstDataCol="1"/>
  <pivotFields count="25">
    <pivotField showAll="0"/>
    <pivotField numFmtId="14" showAll="0">
      <items count="39">
        <item m="1" x="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numFmtId="14" showAll="0">
      <items count="39">
        <item m="1" x="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axis="axisRow" showAll="0">
      <items count="13">
        <item x="1"/>
        <item x="2"/>
        <item x="3"/>
        <item x="4"/>
        <item x="5"/>
        <item x="6"/>
        <item x="7"/>
        <item x="8"/>
        <item x="9"/>
        <item x="10"/>
        <item x="11"/>
        <item x="0"/>
        <item t="default"/>
      </items>
    </pivotField>
    <pivotField axis="axisRow" showAll="0">
      <items count="6">
        <item h="1" m="1" x="4"/>
        <item h="1" x="0"/>
        <item x="1"/>
        <item h="1" x="2"/>
        <item h="1" x="3"/>
        <item t="default"/>
      </items>
    </pivotField>
    <pivotField numFmtId="164" showAll="0"/>
    <pivotField dataField="1" numFmtId="164" showAll="0"/>
    <pivotField numFmtId="164" showAll="0"/>
    <pivotField numFmtId="164" showAll="0"/>
    <pivotField numFmtId="164" showAll="0"/>
    <pivotField numFmtId="164" showAll="0"/>
    <pivotField numFmtId="164" showAll="0"/>
    <pivotField numFmtId="164" showAll="0"/>
    <pivotField numFmtId="166" showAll="0"/>
    <pivotField numFmtId="10" showAll="0"/>
    <pivotField numFmtId="165" showAll="0"/>
    <pivotField numFmtId="165" showAll="0"/>
    <pivotField showAll="0"/>
    <pivotField showAll="0"/>
    <pivotField showAll="0" defaultSubtotal="0"/>
    <pivotField showAll="0" defaultSubtotal="0"/>
    <pivotField showAll="0" defaultSubtotal="0">
      <items count="6">
        <item x="0"/>
        <item x="1"/>
        <item x="2"/>
        <item x="3"/>
        <item x="4"/>
        <item x="5"/>
      </items>
    </pivotField>
    <pivotField showAll="0" defaultSubtotal="0"/>
    <pivotField showAll="0" defaultSubtotal="0"/>
    <pivotField showAll="0" defaultSubtotal="0">
      <items count="6">
        <item x="0"/>
        <item x="1"/>
        <item x="2"/>
        <item x="3"/>
        <item x="4"/>
        <item x="5"/>
      </items>
    </pivotField>
  </pivotFields>
  <rowFields count="2">
    <field x="4"/>
    <field x="3"/>
  </rowFields>
  <rowItems count="14">
    <i>
      <x v="2"/>
    </i>
    <i r="1">
      <x/>
    </i>
    <i r="1">
      <x v="1"/>
    </i>
    <i r="1">
      <x v="2"/>
    </i>
    <i r="1">
      <x v="3"/>
    </i>
    <i r="1">
      <x v="4"/>
    </i>
    <i r="1">
      <x v="5"/>
    </i>
    <i r="1">
      <x v="6"/>
    </i>
    <i r="1">
      <x v="7"/>
    </i>
    <i r="1">
      <x v="8"/>
    </i>
    <i r="1">
      <x v="9"/>
    </i>
    <i r="1">
      <x v="10"/>
    </i>
    <i r="1">
      <x v="11"/>
    </i>
    <i t="grand">
      <x/>
    </i>
  </rowItems>
  <colItems count="1">
    <i/>
  </colItems>
  <dataFields count="1">
    <dataField name="Sum of Interest" fld="6" baseField="0" baseItem="0" numFmtId="164"/>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dateBetween" evalOrder="-1" id="14" name="Due Date">
      <autoFilter ref="A1">
        <filterColumn colId="0">
          <customFilters and="1">
            <customFilter operator="greaterThanOrEqual" val="46174"/>
            <customFilter operator="lessThanOrEqual" val="46203"/>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74AF7D3-8E6A-6F42-838E-9E66D51164E6}" name="PivotTable3" cacheId="7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F4" firstHeaderRow="0" firstDataRow="1" firstDataCol="1"/>
  <pivotFields count="25">
    <pivotField showAll="0"/>
    <pivotField numFmtId="14" showAll="0">
      <items count="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m="1" x="37"/>
        <item t="default"/>
      </items>
    </pivotField>
    <pivotField numFmtId="14" showAll="0">
      <items count="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m="1" x="37"/>
        <item t="default"/>
      </items>
    </pivotField>
    <pivotField axis="axisRow" showAll="0">
      <items count="13">
        <item h="1" x="1"/>
        <item h="1" x="2"/>
        <item x="3"/>
        <item h="1" x="4"/>
        <item h="1" x="5"/>
        <item h="1" x="6"/>
        <item h="1" x="7"/>
        <item h="1" x="8"/>
        <item h="1" x="9"/>
        <item h="1" x="10"/>
        <item h="1" x="11"/>
        <item h="1" x="0"/>
        <item t="default"/>
      </items>
    </pivotField>
    <pivotField axis="axisRow" showAll="0">
      <items count="6">
        <item h="1" x="0"/>
        <item x="1"/>
        <item h="1" x="2"/>
        <item h="1" x="3"/>
        <item h="1" m="1" x="4"/>
        <item t="default"/>
      </items>
    </pivotField>
    <pivotField numFmtId="164" showAll="0"/>
    <pivotField numFmtId="164" showAll="0"/>
    <pivotField numFmtId="164" showAll="0"/>
    <pivotField dataField="1" numFmtId="164" showAll="0"/>
    <pivotField dataField="1" numFmtId="164" showAll="0"/>
    <pivotField dataField="1" numFmtId="164" showAll="0"/>
    <pivotField dataField="1" numFmtId="164" showAll="0"/>
    <pivotField dataField="1" numFmtId="164" showAll="0"/>
    <pivotField numFmtId="166" showAll="0"/>
    <pivotField numFmtId="10" showAll="0"/>
    <pivotField showAll="0"/>
    <pivotField numFmtId="165"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sd="0" x="5"/>
        <item x="0"/>
        <item t="default"/>
      </items>
    </pivotField>
    <pivotField showAll="0">
      <items count="7">
        <item sd="0" x="1"/>
        <item sd="0" x="2"/>
        <item sd="0" x="3"/>
        <item sd="0" x="4"/>
        <item sd="0" x="5"/>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sd="0" x="5"/>
        <item x="0"/>
        <item t="default"/>
      </items>
    </pivotField>
    <pivotField showAll="0">
      <items count="7">
        <item sd="0" x="1"/>
        <item sd="0" x="2"/>
        <item sd="0" x="3"/>
        <item sd="0" x="4"/>
        <item sd="0" x="5"/>
        <item x="0"/>
        <item t="default"/>
      </items>
    </pivotField>
  </pivotFields>
  <rowFields count="2">
    <field x="4"/>
    <field x="3"/>
  </rowFields>
  <rowItems count="3">
    <i>
      <x v="1"/>
    </i>
    <i r="1">
      <x v="2"/>
    </i>
    <i t="grand">
      <x/>
    </i>
  </rowItems>
  <colFields count="1">
    <field x="-2"/>
  </colFields>
  <colItems count="5">
    <i>
      <x/>
    </i>
    <i i="1">
      <x v="1"/>
    </i>
    <i i="2">
      <x v="2"/>
    </i>
    <i i="3">
      <x v="3"/>
    </i>
    <i i="4">
      <x v="4"/>
    </i>
  </colItems>
  <dataFields count="5">
    <dataField name="Sum of Cumulative Interest Paid" fld="12" baseField="0" baseItem="0" numFmtId="165"/>
    <dataField name="Sum of Total Interest need to paid" fld="11" baseField="0" baseItem="0" numFmtId="165"/>
    <dataField name="Sum of Total Outstanding" fld="9" baseField="0" baseItem="0" numFmtId="165"/>
    <dataField name="Total Principal " fld="10" subtotal="max" baseField="0" baseItem="0" numFmtId="165"/>
    <dataField name="Sum of Interest Accrued" fld="8" baseField="0" baseItem="0" numFmtId="165"/>
  </dataFields>
  <formats count="18">
    <format dxfId="67">
      <pivotArea field="4" grandRow="1" outline="0" collapsedLevelsAreSubtotals="1" axis="axisRow" fieldPosition="0">
        <references count="1">
          <reference field="4294967294" count="1" selected="0">
            <x v="1"/>
          </reference>
        </references>
      </pivotArea>
    </format>
    <format dxfId="66">
      <pivotArea field="4" grandRow="1" outline="0" collapsedLevelsAreSubtotals="1" axis="axisRow" fieldPosition="0">
        <references count="1">
          <reference field="4294967294" count="1" selected="0">
            <x v="2"/>
          </reference>
        </references>
      </pivotArea>
    </format>
    <format dxfId="65">
      <pivotArea outline="0" fieldPosition="0">
        <references count="1">
          <reference field="4294967294" count="1">
            <x v="3"/>
          </reference>
        </references>
      </pivotArea>
    </format>
    <format dxfId="64">
      <pivotArea type="all" dataOnly="0" outline="0" fieldPosition="0"/>
    </format>
    <format dxfId="63">
      <pivotArea outline="0" collapsedLevelsAreSubtotals="1" fieldPosition="0"/>
    </format>
    <format dxfId="62">
      <pivotArea field="4" type="button" dataOnly="0" labelOnly="1" outline="0" axis="axisRow" fieldPosition="0"/>
    </format>
    <format dxfId="61">
      <pivotArea dataOnly="0" labelOnly="1" grandRow="1" outline="0" fieldPosition="0"/>
    </format>
    <format dxfId="60">
      <pivotArea dataOnly="0" labelOnly="1" outline="0" fieldPosition="0">
        <references count="1">
          <reference field="4294967294" count="3">
            <x v="1"/>
            <x v="2"/>
            <x v="3"/>
          </reference>
        </references>
      </pivotArea>
    </format>
    <format dxfId="59">
      <pivotArea outline="0" collapsedLevelsAreSubtotals="1" fieldPosition="0">
        <references count="1">
          <reference field="4294967294" count="1" selected="0">
            <x v="3"/>
          </reference>
        </references>
      </pivotArea>
    </format>
    <format dxfId="58">
      <pivotArea dataOnly="0" labelOnly="1" outline="0" fieldPosition="0">
        <references count="1">
          <reference field="4294967294" count="1">
            <x v="3"/>
          </reference>
        </references>
      </pivotArea>
    </format>
    <format dxfId="57">
      <pivotArea outline="0" collapsedLevelsAreSubtotals="1" fieldPosition="0">
        <references count="1">
          <reference field="4294967294" count="1" selected="0">
            <x v="2"/>
          </reference>
        </references>
      </pivotArea>
    </format>
    <format dxfId="56">
      <pivotArea dataOnly="0" labelOnly="1" outline="0" fieldPosition="0">
        <references count="1">
          <reference field="4294967294" count="1">
            <x v="2"/>
          </reference>
        </references>
      </pivotArea>
    </format>
    <format dxfId="55">
      <pivotArea outline="0" collapsedLevelsAreSubtotals="1" fieldPosition="0">
        <references count="1">
          <reference field="4294967294" count="1" selected="0">
            <x v="1"/>
          </reference>
        </references>
      </pivotArea>
    </format>
    <format dxfId="54">
      <pivotArea dataOnly="0" labelOnly="1" outline="0" fieldPosition="0">
        <references count="1">
          <reference field="4294967294" count="1">
            <x v="1"/>
          </reference>
        </references>
      </pivotArea>
    </format>
    <format dxfId="53">
      <pivotArea outline="0" collapsedLevelsAreSubtotals="1" fieldPosition="0">
        <references count="1">
          <reference field="4294967294" count="1" selected="0">
            <x v="0"/>
          </reference>
        </references>
      </pivotArea>
    </format>
    <format dxfId="52">
      <pivotArea dataOnly="0" labelOnly="1" outline="0" fieldPosition="0">
        <references count="1">
          <reference field="4294967294" count="1">
            <x v="0"/>
          </reference>
        </references>
      </pivotArea>
    </format>
    <format dxfId="51">
      <pivotArea outline="0" collapsedLevelsAreSubtotals="1" fieldPosition="0">
        <references count="1">
          <reference field="4294967294" count="1" selected="0">
            <x v="4"/>
          </reference>
        </references>
      </pivotArea>
    </format>
    <format dxfId="50">
      <pivotArea dataOnly="0" labelOnly="1" outline="0" fieldPosition="0">
        <references count="1">
          <reference field="4294967294"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10467F8-3C73-2F42-A2F2-C42E46DD8B8A}" name="PivotTable7" cacheId="77"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11:D16" firstHeaderRow="1" firstDataRow="3" firstDataCol="1"/>
  <pivotFields count="25">
    <pivotField showAll="0"/>
    <pivotField numFmtId="14" showAll="0">
      <items count="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m="1" x="37"/>
        <item t="default"/>
      </items>
    </pivotField>
    <pivotField numFmtId="14" showAll="0">
      <items count="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m="1" x="37"/>
        <item t="default"/>
      </items>
    </pivotField>
    <pivotField axis="axisCol" showAll="0">
      <items count="13">
        <item h="1" x="1"/>
        <item h="1" x="2"/>
        <item x="3"/>
        <item h="1" x="4"/>
        <item h="1" x="5"/>
        <item h="1" x="6"/>
        <item h="1" x="7"/>
        <item h="1" x="8"/>
        <item h="1" x="9"/>
        <item h="1" x="10"/>
        <item h="1" x="11"/>
        <item h="1" x="0"/>
        <item t="default"/>
      </items>
    </pivotField>
    <pivotField axis="axisCol" showAll="0">
      <items count="6">
        <item h="1" x="0"/>
        <item x="1"/>
        <item h="1" x="2"/>
        <item h="1" x="3"/>
        <item h="1" m="1" x="4"/>
        <item t="default"/>
      </items>
    </pivotField>
    <pivotField numFmtId="164" showAll="0"/>
    <pivotField numFmtId="164" showAll="0"/>
    <pivotField numFmtId="164" showAll="0"/>
    <pivotField dataField="1" numFmtId="164" showAll="0"/>
    <pivotField numFmtId="164" showAll="0"/>
    <pivotField dataField="1" numFmtId="164" showAll="0"/>
    <pivotField numFmtId="164" showAll="0"/>
    <pivotField dataField="1" numFmtId="164" showAll="0"/>
    <pivotField numFmtId="166" showAll="0"/>
    <pivotField numFmtId="10" showAll="0"/>
    <pivotField showAll="0"/>
    <pivotField numFmtId="165"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sd="0" x="5"/>
        <item x="0"/>
        <item t="default"/>
      </items>
    </pivotField>
    <pivotField showAll="0">
      <items count="7">
        <item sd="0" x="1"/>
        <item sd="0" x="2"/>
        <item sd="0" x="3"/>
        <item sd="0" x="4"/>
        <item sd="0" x="5"/>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sd="0" x="5"/>
        <item x="0"/>
        <item t="default"/>
      </items>
    </pivotField>
    <pivotField showAll="0">
      <items count="7">
        <item sd="0" x="1"/>
        <item sd="0" x="2"/>
        <item sd="0" x="3"/>
        <item sd="0" x="4"/>
        <item sd="0" x="5"/>
        <item x="0"/>
        <item t="default"/>
      </items>
    </pivotField>
  </pivotFields>
  <rowFields count="1">
    <field x="-2"/>
  </rowFields>
  <rowItems count="3">
    <i>
      <x/>
    </i>
    <i i="1">
      <x v="1"/>
    </i>
    <i i="2">
      <x v="2"/>
    </i>
  </rowItems>
  <colFields count="2">
    <field x="4"/>
    <field x="3"/>
  </colFields>
  <colItems count="3">
    <i>
      <x v="1"/>
      <x v="2"/>
    </i>
    <i t="default">
      <x v="1"/>
    </i>
    <i t="grand">
      <x/>
    </i>
  </colItems>
  <dataFields count="3">
    <dataField name="Automatic Interest Deducation" fld="12" baseField="0" baseItem="0" numFmtId="164"/>
    <dataField name="Remaining Interest" fld="8" baseField="0" baseItem="0" numFmtId="164"/>
    <dataField name="Total Principal " fld="10" subtotal="max" baseField="0" baseItem="0" numFmtId="165"/>
  </dataFields>
  <formats count="8">
    <format dxfId="75">
      <pivotArea outline="0" fieldPosition="0">
        <references count="1">
          <reference field="4294967294" count="1">
            <x v="2"/>
          </reference>
        </references>
      </pivotArea>
    </format>
    <format dxfId="74">
      <pivotArea type="all" dataOnly="0" outline="0" fieldPosition="0"/>
    </format>
    <format dxfId="73">
      <pivotArea outline="0" collapsedLevelsAreSubtotals="1" fieldPosition="0"/>
    </format>
    <format dxfId="72">
      <pivotArea field="4" type="button" dataOnly="0" labelOnly="1" outline="0" axis="axisCol" fieldPosition="0"/>
    </format>
    <format dxfId="71">
      <pivotArea dataOnly="0" labelOnly="1" grandRow="1" outline="0" fieldPosition="0"/>
    </format>
    <format dxfId="70">
      <pivotArea dataOnly="0" labelOnly="1" outline="0" fieldPosition="0">
        <references count="1">
          <reference field="4294967294" count="1">
            <x v="2"/>
          </reference>
        </references>
      </pivotArea>
    </format>
    <format dxfId="69">
      <pivotArea outline="0" collapsedLevelsAreSubtotals="1" fieldPosition="0">
        <references count="1">
          <reference field="4294967294" count="1" selected="0">
            <x v="2"/>
          </reference>
        </references>
      </pivotArea>
    </format>
    <format dxfId="68">
      <pivotArea dataOnly="0" labelOnly="1" outline="0" fieldPosition="0">
        <references count="1">
          <reference field="4294967294" count="1">
            <x v="2"/>
          </reference>
        </references>
      </pivotArea>
    </format>
  </formats>
  <chartFormats count="42">
    <chartFormat chart="8" format="8">
      <pivotArea type="data" outline="0" fieldPosition="0">
        <references count="3">
          <reference field="4294967294" count="1" selected="0">
            <x v="2"/>
          </reference>
          <reference field="3" count="1" selected="0">
            <x v="5"/>
          </reference>
          <reference field="4" count="1" selected="0">
            <x v="1"/>
          </reference>
        </references>
      </pivotArea>
    </chartFormat>
    <chartFormat chart="8" format="10" series="1">
      <pivotArea type="data" outline="0" fieldPosition="0">
        <references count="3">
          <reference field="4294967294" count="1" selected="0">
            <x v="2"/>
          </reference>
          <reference field="3" count="1" selected="0">
            <x v="5"/>
          </reference>
          <reference field="4" count="1" selected="0">
            <x v="1"/>
          </reference>
        </references>
      </pivotArea>
    </chartFormat>
    <chartFormat chart="8" format="11" series="1">
      <pivotArea type="data" outline="0" fieldPosition="0">
        <references count="3">
          <reference field="4294967294" count="1" selected="0">
            <x v="1"/>
          </reference>
          <reference field="3" count="1" selected="0">
            <x v="5"/>
          </reference>
          <reference field="4" count="1" selected="0">
            <x v="1"/>
          </reference>
        </references>
      </pivotArea>
    </chartFormat>
    <chartFormat chart="8" format="12" series="1">
      <pivotArea type="data" outline="0" fieldPosition="0">
        <references count="3">
          <reference field="4294967294" count="1" selected="0">
            <x v="0"/>
          </reference>
          <reference field="3" count="1" selected="0">
            <x v="5"/>
          </reference>
          <reference field="4" count="1" selected="0">
            <x v="1"/>
          </reference>
        </references>
      </pivotArea>
    </chartFormat>
    <chartFormat chart="8" format="13" series="1">
      <pivotArea type="data" outline="0" fieldPosition="0">
        <references count="3">
          <reference field="4294967294" count="1" selected="0">
            <x v="0"/>
          </reference>
          <reference field="3" count="1" selected="0">
            <x v="4"/>
          </reference>
          <reference field="4" count="1" selected="0">
            <x v="1"/>
          </reference>
        </references>
      </pivotArea>
    </chartFormat>
    <chartFormat chart="8" format="14" series="1">
      <pivotArea type="data" outline="0" fieldPosition="0">
        <references count="3">
          <reference field="4294967294" count="1" selected="0">
            <x v="0"/>
          </reference>
          <reference field="3" count="1" selected="0">
            <x v="3"/>
          </reference>
          <reference field="4" count="1" selected="0">
            <x v="1"/>
          </reference>
        </references>
      </pivotArea>
    </chartFormat>
    <chartFormat chart="8" format="15" series="1">
      <pivotArea type="data" outline="0" fieldPosition="0">
        <references count="3">
          <reference field="4294967294" count="1" selected="0">
            <x v="0"/>
          </reference>
          <reference field="3" count="1" selected="0">
            <x v="2"/>
          </reference>
          <reference field="4" count="1" selected="0">
            <x v="1"/>
          </reference>
        </references>
      </pivotArea>
    </chartFormat>
    <chartFormat chart="8" format="16">
      <pivotArea type="data" outline="0" fieldPosition="0">
        <references count="3">
          <reference field="4294967294" count="1" selected="0">
            <x v="1"/>
          </reference>
          <reference field="3" count="1" selected="0">
            <x v="2"/>
          </reference>
          <reference field="4" count="1" selected="0">
            <x v="1"/>
          </reference>
        </references>
      </pivotArea>
    </chartFormat>
    <chartFormat chart="8" format="17" series="1">
      <pivotArea type="data" outline="0" fieldPosition="0">
        <references count="3">
          <reference field="4294967294" count="1" selected="0">
            <x v="0"/>
          </reference>
          <reference field="3" count="1" selected="0">
            <x v="0"/>
          </reference>
          <reference field="4" count="1" selected="0">
            <x v="1"/>
          </reference>
        </references>
      </pivotArea>
    </chartFormat>
    <chartFormat chart="8" format="18" series="1">
      <pivotArea type="data" outline="0" fieldPosition="0">
        <references count="3">
          <reference field="4294967294" count="1" selected="0">
            <x v="0"/>
          </reference>
          <reference field="3" count="1" selected="0">
            <x v="6"/>
          </reference>
          <reference field="4" count="1" selected="0">
            <x v="1"/>
          </reference>
        </references>
      </pivotArea>
    </chartFormat>
    <chartFormat chart="8" format="19" series="1">
      <pivotArea type="data" outline="0" fieldPosition="0">
        <references count="3">
          <reference field="4294967294" count="1" selected="0">
            <x v="0"/>
          </reference>
          <reference field="3" count="1" selected="0">
            <x v="8"/>
          </reference>
          <reference field="4" count="1" selected="0">
            <x v="1"/>
          </reference>
        </references>
      </pivotArea>
    </chartFormat>
    <chartFormat chart="8" format="20" series="1">
      <pivotArea type="data" outline="0" fieldPosition="0">
        <references count="3">
          <reference field="4294967294" count="1" selected="0">
            <x v="0"/>
          </reference>
          <reference field="3" count="1" selected="0">
            <x v="10"/>
          </reference>
          <reference field="4" count="1" selected="0">
            <x v="1"/>
          </reference>
        </references>
      </pivotArea>
    </chartFormat>
    <chartFormat chart="8" format="21" series="1">
      <pivotArea type="data" outline="0" fieldPosition="0">
        <references count="3">
          <reference field="4294967294" count="1" selected="0">
            <x v="0"/>
          </reference>
          <reference field="3" count="1" selected="0">
            <x v="11"/>
          </reference>
          <reference field="4" count="1" selected="0">
            <x v="1"/>
          </reference>
        </references>
      </pivotArea>
    </chartFormat>
    <chartFormat chart="8" format="22" series="1">
      <pivotArea type="data" outline="0" fieldPosition="0">
        <references count="3">
          <reference field="4294967294" count="1" selected="0">
            <x v="0"/>
          </reference>
          <reference field="3" count="1" selected="0">
            <x v="1"/>
          </reference>
          <reference field="4" count="1" selected="0">
            <x v="1"/>
          </reference>
        </references>
      </pivotArea>
    </chartFormat>
    <chartFormat chart="8" format="23" series="1">
      <pivotArea type="data" outline="0" fieldPosition="0">
        <references count="3">
          <reference field="4294967294" count="1" selected="0">
            <x v="0"/>
          </reference>
          <reference field="3" count="1" selected="0">
            <x v="7"/>
          </reference>
          <reference field="4" count="1" selected="0">
            <x v="1"/>
          </reference>
        </references>
      </pivotArea>
    </chartFormat>
    <chartFormat chart="8" format="24" series="1">
      <pivotArea type="data" outline="0" fieldPosition="0">
        <references count="3">
          <reference field="4294967294" count="1" selected="0">
            <x v="0"/>
          </reference>
          <reference field="3" count="1" selected="0">
            <x v="9"/>
          </reference>
          <reference field="4" count="1" selected="0">
            <x v="1"/>
          </reference>
        </references>
      </pivotArea>
    </chartFormat>
    <chartFormat chart="8" format="25" series="1">
      <pivotArea type="data" outline="0" fieldPosition="0">
        <references count="3">
          <reference field="4294967294" count="1" selected="0">
            <x v="0"/>
          </reference>
          <reference field="3" count="1" selected="0">
            <x v="9"/>
          </reference>
          <reference field="4" count="1" selected="0">
            <x v="2"/>
          </reference>
        </references>
      </pivotArea>
    </chartFormat>
    <chartFormat chart="8" format="26" series="1">
      <pivotArea type="data" outline="0" fieldPosition="0">
        <references count="3">
          <reference field="4294967294" count="1" selected="0">
            <x v="0"/>
          </reference>
          <reference field="3" count="1" selected="0">
            <x v="8"/>
          </reference>
          <reference field="4" count="1" selected="0">
            <x v="2"/>
          </reference>
        </references>
      </pivotArea>
    </chartFormat>
    <chartFormat chart="8" format="27" series="1">
      <pivotArea type="data" outline="0" fieldPosition="0">
        <references count="3">
          <reference field="4294967294" count="1" selected="0">
            <x v="0"/>
          </reference>
          <reference field="3" count="1" selected="0">
            <x v="6"/>
          </reference>
          <reference field="4" count="1" selected="0">
            <x v="2"/>
          </reference>
        </references>
      </pivotArea>
    </chartFormat>
    <chartFormat chart="8" format="28" series="1">
      <pivotArea type="data" outline="0" fieldPosition="0">
        <references count="3">
          <reference field="4294967294" count="1" selected="0">
            <x v="0"/>
          </reference>
          <reference field="3" count="1" selected="0">
            <x v="4"/>
          </reference>
          <reference field="4" count="1" selected="0">
            <x v="2"/>
          </reference>
        </references>
      </pivotArea>
    </chartFormat>
    <chartFormat chart="8" format="29" series="1">
      <pivotArea type="data" outline="0" fieldPosition="0">
        <references count="3">
          <reference field="4294967294" count="1" selected="0">
            <x v="0"/>
          </reference>
          <reference field="3" count="1" selected="0">
            <x v="2"/>
          </reference>
          <reference field="4" count="1" selected="0">
            <x v="2"/>
          </reference>
        </references>
      </pivotArea>
    </chartFormat>
    <chartFormat chart="8" format="30" series="1">
      <pivotArea type="data" outline="0" fieldPosition="0">
        <references count="3">
          <reference field="4294967294" count="1" selected="0">
            <x v="0"/>
          </reference>
          <reference field="3" count="1" selected="0">
            <x v="1"/>
          </reference>
          <reference field="4" count="1" selected="0">
            <x v="2"/>
          </reference>
        </references>
      </pivotArea>
    </chartFormat>
    <chartFormat chart="8" format="31" series="1">
      <pivotArea type="data" outline="0" fieldPosition="0">
        <references count="3">
          <reference field="4294967294" count="1" selected="0">
            <x v="0"/>
          </reference>
          <reference field="3" count="1" selected="0">
            <x v="3"/>
          </reference>
          <reference field="4" count="1" selected="0">
            <x v="2"/>
          </reference>
        </references>
      </pivotArea>
    </chartFormat>
    <chartFormat chart="8" format="32" series="1">
      <pivotArea type="data" outline="0" fieldPosition="0">
        <references count="3">
          <reference field="4294967294" count="1" selected="0">
            <x v="0"/>
          </reference>
          <reference field="3" count="1" selected="0">
            <x v="0"/>
          </reference>
          <reference field="4" count="1" selected="0">
            <x v="2"/>
          </reference>
        </references>
      </pivotArea>
    </chartFormat>
    <chartFormat chart="8" format="33">
      <pivotArea type="data" outline="0" fieldPosition="0">
        <references count="3">
          <reference field="4294967294" count="1" selected="0">
            <x v="0"/>
          </reference>
          <reference field="3" count="1" selected="0">
            <x v="0"/>
          </reference>
          <reference field="4" count="1" selected="0">
            <x v="2"/>
          </reference>
        </references>
      </pivotArea>
    </chartFormat>
    <chartFormat chart="8" format="34">
      <pivotArea type="data" outline="0" fieldPosition="0">
        <references count="3">
          <reference field="4294967294" count="1" selected="0">
            <x v="1"/>
          </reference>
          <reference field="3" count="1" selected="0">
            <x v="0"/>
          </reference>
          <reference field="4" count="1" selected="0">
            <x v="2"/>
          </reference>
        </references>
      </pivotArea>
    </chartFormat>
    <chartFormat chart="8" format="35">
      <pivotArea type="data" outline="0" fieldPosition="0">
        <references count="3">
          <reference field="4294967294" count="1" selected="0">
            <x v="2"/>
          </reference>
          <reference field="3" count="1" selected="0">
            <x v="0"/>
          </reference>
          <reference field="4" count="1" selected="0">
            <x v="2"/>
          </reference>
        </references>
      </pivotArea>
    </chartFormat>
    <chartFormat chart="8" format="36" series="1">
      <pivotArea type="data" outline="0" fieldPosition="0">
        <references count="3">
          <reference field="4294967294" count="1" selected="0">
            <x v="0"/>
          </reference>
          <reference field="3" count="1" selected="0">
            <x v="5"/>
          </reference>
          <reference field="4" count="1" selected="0">
            <x v="2"/>
          </reference>
        </references>
      </pivotArea>
    </chartFormat>
    <chartFormat chart="8" format="37">
      <pivotArea type="data" outline="0" fieldPosition="0">
        <references count="3">
          <reference field="4294967294" count="1" selected="0">
            <x v="0"/>
          </reference>
          <reference field="3" count="1" selected="0">
            <x v="6"/>
          </reference>
          <reference field="4" count="1" selected="0">
            <x v="2"/>
          </reference>
        </references>
      </pivotArea>
    </chartFormat>
    <chartFormat chart="8" format="38">
      <pivotArea type="data" outline="0" fieldPosition="0">
        <references count="3">
          <reference field="4294967294" count="1" selected="0">
            <x v="0"/>
          </reference>
          <reference field="3" count="1" selected="0">
            <x v="1"/>
          </reference>
          <reference field="4" count="1" selected="0">
            <x v="2"/>
          </reference>
        </references>
      </pivotArea>
    </chartFormat>
    <chartFormat chart="8" format="39">
      <pivotArea type="data" outline="0" fieldPosition="0">
        <references count="3">
          <reference field="4294967294" count="1" selected="0">
            <x v="0"/>
          </reference>
          <reference field="3" count="1" selected="0">
            <x v="2"/>
          </reference>
          <reference field="4" count="1" selected="0">
            <x v="2"/>
          </reference>
        </references>
      </pivotArea>
    </chartFormat>
    <chartFormat chart="8" format="40">
      <pivotArea type="data" outline="0" fieldPosition="0">
        <references count="3">
          <reference field="4294967294" count="1" selected="0">
            <x v="1"/>
          </reference>
          <reference field="3" count="1" selected="0">
            <x v="2"/>
          </reference>
          <reference field="4" count="1" selected="0">
            <x v="2"/>
          </reference>
        </references>
      </pivotArea>
    </chartFormat>
    <chartFormat chart="8" format="41">
      <pivotArea type="data" outline="0" fieldPosition="0">
        <references count="3">
          <reference field="4294967294" count="1" selected="0">
            <x v="2"/>
          </reference>
          <reference field="3" count="1" selected="0">
            <x v="2"/>
          </reference>
          <reference field="4" count="1" selected="0">
            <x v="2"/>
          </reference>
        </references>
      </pivotArea>
    </chartFormat>
    <chartFormat chart="8" format="42" series="1">
      <pivotArea type="data" outline="0" fieldPosition="0">
        <references count="3">
          <reference field="4294967294" count="1" selected="0">
            <x v="0"/>
          </reference>
          <reference field="3" count="1" selected="0">
            <x v="7"/>
          </reference>
          <reference field="4" count="1" selected="0">
            <x v="2"/>
          </reference>
        </references>
      </pivotArea>
    </chartFormat>
    <chartFormat chart="8" format="43">
      <pivotArea type="data" outline="0" fieldPosition="0">
        <references count="3">
          <reference field="4294967294" count="1" selected="0">
            <x v="0"/>
          </reference>
          <reference field="3" count="1" selected="0">
            <x v="0"/>
          </reference>
          <reference field="4" count="1" selected="0">
            <x v="1"/>
          </reference>
        </references>
      </pivotArea>
    </chartFormat>
    <chartFormat chart="8" format="44">
      <pivotArea type="data" outline="0" fieldPosition="0">
        <references count="3">
          <reference field="4294967294" count="1" selected="0">
            <x v="1"/>
          </reference>
          <reference field="3" count="1" selected="0">
            <x v="0"/>
          </reference>
          <reference field="4" count="1" selected="0">
            <x v="1"/>
          </reference>
        </references>
      </pivotArea>
    </chartFormat>
    <chartFormat chart="8" format="45" series="1">
      <pivotArea type="data" outline="0" fieldPosition="0">
        <references count="1">
          <reference field="4294967294" count="1" selected="0">
            <x v="0"/>
          </reference>
        </references>
      </pivotArea>
    </chartFormat>
    <chartFormat chart="8" format="46">
      <pivotArea type="data" outline="0" fieldPosition="0">
        <references count="3">
          <reference field="4294967294" count="1" selected="0">
            <x v="0"/>
          </reference>
          <reference field="3" count="1" selected="0">
            <x v="1"/>
          </reference>
          <reference field="4" count="1" selected="0">
            <x v="1"/>
          </reference>
        </references>
      </pivotArea>
    </chartFormat>
    <chartFormat chart="8" format="47" series="1">
      <pivotArea type="data" outline="0" fieldPosition="0">
        <references count="3">
          <reference field="4294967294" count="1" selected="0">
            <x v="0"/>
          </reference>
          <reference field="3" count="1" selected="0">
            <x v="11"/>
          </reference>
          <reference field="4" count="1" selected="0">
            <x v="0"/>
          </reference>
        </references>
      </pivotArea>
    </chartFormat>
    <chartFormat chart="8" format="48">
      <pivotArea type="data" outline="0" fieldPosition="0">
        <references count="3">
          <reference field="4294967294" count="1" selected="0">
            <x v="0"/>
          </reference>
          <reference field="3" count="1" selected="0">
            <x v="11"/>
          </reference>
          <reference field="4" count="1" selected="0">
            <x v="0"/>
          </reference>
        </references>
      </pivotArea>
    </chartFormat>
    <chartFormat chart="8" format="49">
      <pivotArea type="data" outline="0" fieldPosition="0">
        <references count="3">
          <reference field="4294967294" count="1" selected="0">
            <x v="1"/>
          </reference>
          <reference field="3" count="1" selected="0">
            <x v="11"/>
          </reference>
          <reference field="4" count="1" selected="0">
            <x v="0"/>
          </reference>
        </references>
      </pivotArea>
    </chartFormat>
    <chartFormat chart="8" format="50">
      <pivotArea type="data" outline="0" fieldPosition="0">
        <references count="3">
          <reference field="4294967294" count="1" selected="0">
            <x v="2"/>
          </reference>
          <reference field="3" count="1" selected="0">
            <x v="11"/>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16C9152-DF78-554B-A2AD-8A6C06FFE0E4}" name="PivotTable6" cacheId="7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Y1:Z6" firstHeaderRow="1" firstDataRow="1" firstDataCol="1"/>
  <pivotFields count="25">
    <pivotField showAll="0"/>
    <pivotField numFmtId="14" showAll="0">
      <items count="39">
        <item m="1" x="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numFmtId="14" showAll="0">
      <items count="39">
        <item m="1" x="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showAll="0"/>
    <pivotField axis="axisRow" showAll="0">
      <items count="6">
        <item m="1" x="4"/>
        <item x="0"/>
        <item x="1"/>
        <item x="2"/>
        <item x="3"/>
        <item t="default"/>
      </items>
    </pivotField>
    <pivotField numFmtId="164" showAll="0"/>
    <pivotField numFmtId="164" showAll="0"/>
    <pivotField numFmtId="164" showAll="0"/>
    <pivotField numFmtId="164" showAll="0"/>
    <pivotField dataField="1" numFmtId="164" showAll="0"/>
    <pivotField numFmtId="164" showAll="0"/>
    <pivotField numFmtId="164" showAll="0"/>
    <pivotField numFmtId="164" showAll="0"/>
    <pivotField numFmtId="166" showAll="0"/>
    <pivotField numFmtId="10" showAll="0"/>
    <pivotField numFmtId="165" showAll="0"/>
    <pivotField numFmtId="165" showAll="0"/>
    <pivotField showAll="0"/>
    <pivotField showAll="0"/>
    <pivotField showAll="0" defaultSubtotal="0"/>
    <pivotField showAll="0" defaultSubtotal="0"/>
    <pivotField showAll="0" defaultSubtotal="0">
      <items count="6">
        <item x="0"/>
        <item x="1"/>
        <item x="2"/>
        <item x="3"/>
        <item x="4"/>
        <item x="5"/>
      </items>
    </pivotField>
    <pivotField showAll="0" defaultSubtotal="0"/>
    <pivotField showAll="0" defaultSubtotal="0"/>
    <pivotField showAll="0" defaultSubtotal="0">
      <items count="6">
        <item x="0"/>
        <item x="1"/>
        <item x="2"/>
        <item x="3"/>
        <item x="4"/>
        <item x="5"/>
      </items>
    </pivotField>
  </pivotFields>
  <rowFields count="1">
    <field x="4"/>
  </rowFields>
  <rowItems count="5">
    <i>
      <x v="1"/>
    </i>
    <i>
      <x v="2"/>
    </i>
    <i>
      <x v="3"/>
    </i>
    <i>
      <x v="4"/>
    </i>
    <i t="grand">
      <x/>
    </i>
  </rowItems>
  <colItems count="1">
    <i/>
  </colItems>
  <dataFields count="1">
    <dataField name="Sum of Total Outstanding" fld="9"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0E1C894-44ED-F148-AFDB-0C0E027EDB55}" name="PivotTable1" cacheId="7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H1:L4" firstHeaderRow="0" firstDataRow="1" firstDataCol="1"/>
  <pivotFields count="25">
    <pivotField showAll="0"/>
    <pivotField numFmtId="14" showAll="0">
      <items count="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m="1" x="37"/>
        <item t="default"/>
      </items>
    </pivotField>
    <pivotField numFmtId="14" showAll="0">
      <items count="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m="1" x="37"/>
        <item t="default"/>
      </items>
    </pivotField>
    <pivotField axis="axisRow" showAll="0">
      <items count="13">
        <item h="1" x="1"/>
        <item h="1" x="2"/>
        <item x="3"/>
        <item h="1" x="4"/>
        <item h="1" x="5"/>
        <item h="1" x="6"/>
        <item h="1" x="7"/>
        <item h="1" x="8"/>
        <item h="1" x="9"/>
        <item h="1" x="10"/>
        <item h="1" x="11"/>
        <item h="1" x="0"/>
        <item t="default"/>
      </items>
    </pivotField>
    <pivotField axis="axisRow" showAll="0">
      <items count="6">
        <item h="1" x="0"/>
        <item x="1"/>
        <item h="1" x="2"/>
        <item h="1" x="3"/>
        <item h="1" m="1" x="4"/>
        <item t="default"/>
      </items>
    </pivotField>
    <pivotField numFmtId="164" showAll="0"/>
    <pivotField numFmtId="164" showAll="0"/>
    <pivotField numFmtId="164" showAll="0"/>
    <pivotField dataField="1" numFmtId="164" showAll="0"/>
    <pivotField dataField="1" numFmtId="164" showAll="0"/>
    <pivotField numFmtId="164" showAll="0"/>
    <pivotField numFmtId="164" showAll="0"/>
    <pivotField numFmtId="164" showAll="0"/>
    <pivotField numFmtId="166" showAll="0"/>
    <pivotField numFmtId="10" showAll="0"/>
    <pivotField showAll="0"/>
    <pivotField dataField="1" numFmtId="165" showAll="0"/>
    <pivotField dataField="1"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sd="0" x="5"/>
        <item x="0"/>
        <item t="default"/>
      </items>
    </pivotField>
    <pivotField showAll="0">
      <items count="7">
        <item sd="0" x="1"/>
        <item sd="0" x="2"/>
        <item sd="0" x="3"/>
        <item sd="0" x="4"/>
        <item sd="0" x="5"/>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sd="0" x="5"/>
        <item x="0"/>
        <item t="default"/>
      </items>
    </pivotField>
    <pivotField showAll="0">
      <items count="7">
        <item sd="0" x="1"/>
        <item sd="0" x="2"/>
        <item sd="0" x="3"/>
        <item sd="0" x="4"/>
        <item sd="0" x="5"/>
        <item x="0"/>
        <item t="default"/>
      </items>
    </pivotField>
  </pivotFields>
  <rowFields count="2">
    <field x="4"/>
    <field x="3"/>
  </rowFields>
  <rowItems count="3">
    <i>
      <x v="1"/>
    </i>
    <i r="1">
      <x v="2"/>
    </i>
    <i t="grand">
      <x/>
    </i>
  </rowItems>
  <colFields count="1">
    <field x="-2"/>
  </colFields>
  <colItems count="4">
    <i>
      <x/>
    </i>
    <i i="1">
      <x v="1"/>
    </i>
    <i i="2">
      <x v="2"/>
    </i>
    <i i="3">
      <x v="3"/>
    </i>
  </colItems>
  <dataFields count="4">
    <dataField name="Sum of payment" fld="16" baseField="0" baseItem="0" numFmtId="165"/>
    <dataField name="Sum of Interest Accrued" fld="8" baseField="0" baseItem="0" numFmtId="164"/>
    <dataField name="Sum of Total Outstanding" fld="9" baseField="0" baseItem="0" numFmtId="165"/>
    <dataField name="Sum of how many months it takes to repay" fld="17" baseField="0" baseItem="0" numFmtId="2"/>
  </dataFields>
  <formats count="13">
    <format dxfId="88">
      <pivotArea field="4" grandRow="1" outline="0" collapsedLevelsAreSubtotals="1" axis="axisRow" fieldPosition="0">
        <references count="1">
          <reference field="4294967294" count="1" selected="0">
            <x v="2"/>
          </reference>
        </references>
      </pivotArea>
    </format>
    <format dxfId="87">
      <pivotArea type="all" dataOnly="0" outline="0" fieldPosition="0"/>
    </format>
    <format dxfId="86">
      <pivotArea outline="0" collapsedLevelsAreSubtotals="1" fieldPosition="0"/>
    </format>
    <format dxfId="85">
      <pivotArea field="4" type="button" dataOnly="0" labelOnly="1" outline="0" axis="axisRow" fieldPosition="0"/>
    </format>
    <format dxfId="84">
      <pivotArea dataOnly="0" labelOnly="1" fieldPosition="0">
        <references count="1">
          <reference field="4" count="0"/>
        </references>
      </pivotArea>
    </format>
    <format dxfId="83">
      <pivotArea dataOnly="0" labelOnly="1" grandRow="1" outline="0" fieldPosition="0"/>
    </format>
    <format dxfId="82">
      <pivotArea dataOnly="0" labelOnly="1" outline="0" fieldPosition="0">
        <references count="1">
          <reference field="4294967294" count="1">
            <x v="2"/>
          </reference>
        </references>
      </pivotArea>
    </format>
    <format dxfId="81">
      <pivotArea outline="0" collapsedLevelsAreSubtotals="1" fieldPosition="0">
        <references count="1">
          <reference field="4294967294" count="1" selected="0">
            <x v="2"/>
          </reference>
        </references>
      </pivotArea>
    </format>
    <format dxfId="80">
      <pivotArea dataOnly="0" labelOnly="1" outline="0" fieldPosition="0">
        <references count="1">
          <reference field="4294967294" count="1">
            <x v="2"/>
          </reference>
        </references>
      </pivotArea>
    </format>
    <format dxfId="79">
      <pivotArea dataOnly="0" outline="0" fieldPosition="0">
        <references count="1">
          <reference field="4294967294" count="1">
            <x v="3"/>
          </reference>
        </references>
      </pivotArea>
    </format>
    <format dxfId="78">
      <pivotArea outline="0" collapsedLevelsAreSubtotals="1" fieldPosition="0">
        <references count="1">
          <reference field="4294967294" count="1" selected="0">
            <x v="3"/>
          </reference>
        </references>
      </pivotArea>
    </format>
    <format dxfId="77">
      <pivotArea dataOnly="0" labelOnly="1" outline="0" fieldPosition="0">
        <references count="1">
          <reference field="4294967294" count="1">
            <x v="3"/>
          </reference>
        </references>
      </pivotArea>
    </format>
    <format dxfId="76">
      <pivotArea field="4" grandRow="1" outline="0" collapsedLevelsAreSubtotals="1" axis="axisRow" fieldPosition="0">
        <references count="1">
          <reference field="4294967294" count="1" selected="0">
            <x v="3"/>
          </reference>
        </references>
      </pivotArea>
    </format>
  </formats>
  <chartFormats count="6">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3" format="1" series="1">
      <pivotArea type="data" outline="0" fieldPosition="0">
        <references count="1">
          <reference field="4294967294" count="1" selected="0">
            <x v="1"/>
          </reference>
        </references>
      </pivotArea>
    </chartFormat>
    <chartFormat chart="3" format="2" series="1">
      <pivotArea type="data" outline="0" fieldPosition="0">
        <references count="1">
          <reference field="4294967294" count="1" selected="0">
            <x v="2"/>
          </reference>
        </references>
      </pivotArea>
    </chartFormat>
    <chartFormat chart="3"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7085AC4-8493-C247-B624-DDC6B453A73E}" name="PivotTable12" cacheId="77"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2">
  <location ref="I20:J34" firstHeaderRow="1" firstDataRow="1" firstDataCol="1"/>
  <pivotFields count="25">
    <pivotField showAll="0"/>
    <pivotField numFmtId="14" showAll="0">
      <items count="39">
        <item m="1" x="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numFmtId="14" showAll="0">
      <items count="39">
        <item m="1" x="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axis="axisRow" showAll="0">
      <items count="13">
        <item x="1"/>
        <item x="2"/>
        <item x="3"/>
        <item x="4"/>
        <item x="5"/>
        <item x="6"/>
        <item x="7"/>
        <item x="8"/>
        <item x="9"/>
        <item x="10"/>
        <item x="11"/>
        <item x="0"/>
        <item t="default"/>
      </items>
    </pivotField>
    <pivotField axis="axisRow" showAll="0">
      <items count="6">
        <item h="1" m="1" x="4"/>
        <item h="1" x="0"/>
        <item x="1"/>
        <item h="1" x="2"/>
        <item h="1" x="3"/>
        <item t="default"/>
      </items>
    </pivotField>
    <pivotField numFmtId="164" showAll="0"/>
    <pivotField numFmtId="164" showAll="0"/>
    <pivotField numFmtId="164" showAll="0"/>
    <pivotField numFmtId="164" showAll="0"/>
    <pivotField dataField="1" numFmtId="164" showAll="0"/>
    <pivotField numFmtId="164" showAll="0"/>
    <pivotField numFmtId="164" showAll="0"/>
    <pivotField numFmtId="164" showAll="0"/>
    <pivotField numFmtId="166" showAll="0"/>
    <pivotField numFmtId="10" showAll="0"/>
    <pivotField numFmtId="165" showAll="0"/>
    <pivotField numFmtId="165" showAll="0"/>
    <pivotField showAll="0"/>
    <pivotField showAll="0"/>
    <pivotField showAll="0" defaultSubtotal="0"/>
    <pivotField showAll="0" defaultSubtotal="0"/>
    <pivotField showAll="0" defaultSubtotal="0">
      <items count="6">
        <item x="0"/>
        <item x="1"/>
        <item x="2"/>
        <item x="3"/>
        <item x="4"/>
        <item x="5"/>
      </items>
    </pivotField>
    <pivotField showAll="0" defaultSubtotal="0"/>
    <pivotField showAll="0" defaultSubtotal="0"/>
    <pivotField showAll="0" defaultSubtotal="0">
      <items count="6">
        <item x="0"/>
        <item x="1"/>
        <item x="2"/>
        <item x="3"/>
        <item x="4"/>
        <item x="5"/>
      </items>
    </pivotField>
  </pivotFields>
  <rowFields count="2">
    <field x="4"/>
    <field x="3"/>
  </rowFields>
  <rowItems count="14">
    <i>
      <x v="2"/>
    </i>
    <i r="1">
      <x/>
    </i>
    <i r="1">
      <x v="1"/>
    </i>
    <i r="1">
      <x v="2"/>
    </i>
    <i r="1">
      <x v="3"/>
    </i>
    <i r="1">
      <x v="4"/>
    </i>
    <i r="1">
      <x v="5"/>
    </i>
    <i r="1">
      <x v="6"/>
    </i>
    <i r="1">
      <x v="7"/>
    </i>
    <i r="1">
      <x v="8"/>
    </i>
    <i r="1">
      <x v="9"/>
    </i>
    <i r="1">
      <x v="10"/>
    </i>
    <i r="1">
      <x v="11"/>
    </i>
    <i t="grand">
      <x/>
    </i>
  </rowItems>
  <colItems count="1">
    <i/>
  </colItems>
  <dataFields count="1">
    <dataField name="Sum of Total Outstanding" fld="9" baseField="0" baseItem="0" numFmtId="164"/>
  </dataFields>
  <chartFormats count="1">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dateBetween" evalOrder="-1" id="14" name="Due Date">
      <autoFilter ref="A1">
        <filterColumn colId="0">
          <customFilters and="1">
            <customFilter operator="greaterThanOrEqual" val="46174"/>
            <customFilter operator="lessThanOrEqual" val="46203"/>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4D2B6F5-18FA-4145-B019-39C1F715BD8C}" name="PivotTable10" cacheId="7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L11:M16" firstHeaderRow="1" firstDataRow="1" firstDataCol="1"/>
  <pivotFields count="25">
    <pivotField showAll="0"/>
    <pivotField numFmtId="14" showAll="0">
      <items count="39">
        <item m="1" x="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numFmtId="14" showAll="0">
      <items count="39">
        <item m="1" x="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showAll="0"/>
    <pivotField axis="axisRow" showAll="0">
      <items count="6">
        <item m="1" x="4"/>
        <item x="0"/>
        <item x="1"/>
        <item x="2"/>
        <item x="3"/>
        <item t="default"/>
      </items>
    </pivotField>
    <pivotField numFmtId="164" showAll="0"/>
    <pivotField numFmtId="164" showAll="0"/>
    <pivotField numFmtId="164" showAll="0"/>
    <pivotField numFmtId="164" showAll="0"/>
    <pivotField dataField="1" numFmtId="164" showAll="0"/>
    <pivotField numFmtId="164" showAll="0"/>
    <pivotField numFmtId="164" showAll="0"/>
    <pivotField numFmtId="164" showAll="0"/>
    <pivotField numFmtId="166" showAll="0"/>
    <pivotField numFmtId="10" showAll="0"/>
    <pivotField numFmtId="165" showAll="0"/>
    <pivotField numFmtId="165" showAll="0"/>
    <pivotField showAll="0"/>
    <pivotField numFmtId="165" showAll="0"/>
    <pivotField showAll="0" defaultSubtotal="0"/>
    <pivotField showAll="0" defaultSubtotal="0"/>
    <pivotField showAll="0" defaultSubtotal="0">
      <items count="6">
        <item x="0"/>
        <item x="1"/>
        <item x="2"/>
        <item x="3"/>
        <item x="4"/>
        <item x="5"/>
      </items>
    </pivotField>
    <pivotField showAll="0" defaultSubtotal="0"/>
    <pivotField showAll="0" defaultSubtotal="0"/>
    <pivotField showAll="0" defaultSubtotal="0">
      <items count="6">
        <item x="0"/>
        <item x="1"/>
        <item x="2"/>
        <item x="3"/>
        <item x="4"/>
        <item x="5"/>
      </items>
    </pivotField>
  </pivotFields>
  <rowFields count="1">
    <field x="4"/>
  </rowFields>
  <rowItems count="5">
    <i>
      <x v="1"/>
    </i>
    <i>
      <x v="2"/>
    </i>
    <i>
      <x v="3"/>
    </i>
    <i>
      <x v="4"/>
    </i>
    <i t="grand">
      <x/>
    </i>
  </rowItems>
  <colItems count="1">
    <i/>
  </colItems>
  <dataFields count="1">
    <dataField name="Max of Total Outstanding" fld="9" subtotal="max" baseField="0" baseItem="0" numFmtId="164"/>
  </dataFields>
  <chartFormats count="1">
    <chartFormat chart="1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A1CC4DD-604E-BC4B-83AB-BA24F370880B}" name="PivotTable2" cacheId="77"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N1:Q5" firstHeaderRow="1" firstDataRow="3" firstDataCol="1"/>
  <pivotFields count="25">
    <pivotField showAll="0"/>
    <pivotField numFmtId="14" showAll="0">
      <items count="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m="1" x="37"/>
        <item t="default"/>
      </items>
    </pivotField>
    <pivotField numFmtId="14" showAll="0">
      <items count="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m="1" x="37"/>
        <item t="default"/>
      </items>
    </pivotField>
    <pivotField axis="axisCol" showAll="0">
      <items count="13">
        <item h="1" x="1"/>
        <item h="1" x="2"/>
        <item x="3"/>
        <item h="1" x="4"/>
        <item h="1" x="5"/>
        <item h="1" x="6"/>
        <item h="1" x="7"/>
        <item h="1" x="8"/>
        <item h="1" x="9"/>
        <item h="1" x="10"/>
        <item h="1" x="11"/>
        <item h="1" x="0"/>
        <item t="default"/>
      </items>
    </pivotField>
    <pivotField axis="axisCol" showAll="0">
      <items count="6">
        <item h="1" x="0"/>
        <item x="1"/>
        <item h="1" x="2"/>
        <item h="1" x="3"/>
        <item h="1" m="1" x="4"/>
        <item t="default"/>
      </items>
    </pivotField>
    <pivotField numFmtId="164" showAll="0"/>
    <pivotField numFmtId="164" showAll="0"/>
    <pivotField numFmtId="164" showAll="0"/>
    <pivotField numFmtId="164" showAll="0"/>
    <pivotField numFmtId="164" showAll="0"/>
    <pivotField dataField="1" numFmtId="164" showAll="0"/>
    <pivotField dataField="1" numFmtId="164" showAll="0"/>
    <pivotField numFmtId="164" showAll="0"/>
    <pivotField numFmtId="166" showAll="0"/>
    <pivotField numFmtId="10" showAll="0"/>
    <pivotField showAll="0"/>
    <pivotField numFmtId="165"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sd="0" x="5"/>
        <item x="0"/>
        <item t="default"/>
      </items>
    </pivotField>
    <pivotField showAll="0">
      <items count="7">
        <item sd="0" x="1"/>
        <item sd="0" x="2"/>
        <item sd="0" x="3"/>
        <item sd="0" x="4"/>
        <item sd="0" x="5"/>
        <item x="0"/>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sd="0" x="5"/>
        <item x="0"/>
        <item t="default"/>
      </items>
    </pivotField>
    <pivotField showAll="0">
      <items count="7">
        <item sd="0" x="1"/>
        <item sd="0" x="2"/>
        <item sd="0" x="3"/>
        <item sd="0" x="4"/>
        <item sd="0" x="5"/>
        <item x="0"/>
        <item t="default"/>
      </items>
    </pivotField>
  </pivotFields>
  <rowFields count="1">
    <field x="-2"/>
  </rowFields>
  <rowItems count="2">
    <i>
      <x/>
    </i>
    <i i="1">
      <x v="1"/>
    </i>
  </rowItems>
  <colFields count="2">
    <field x="4"/>
    <field x="3"/>
  </colFields>
  <colItems count="3">
    <i>
      <x v="1"/>
      <x v="2"/>
    </i>
    <i t="default">
      <x v="1"/>
    </i>
    <i t="grand">
      <x/>
    </i>
  </colItems>
  <dataFields count="2">
    <dataField name="Interest Raised" fld="11" baseField="0" baseItem="0" numFmtId="165"/>
    <dataField name="Principal Amount" fld="10" subtotal="max" baseField="0" baseItem="0" numFmtId="165"/>
  </dataFields>
  <formats count="11">
    <format dxfId="99">
      <pivotArea field="4" grandCol="1" outline="0" collapsedLevelsAreSubtotals="1" axis="axisCol" fieldPosition="0">
        <references count="1">
          <reference field="4294967294" count="1" selected="0">
            <x v="0"/>
          </reference>
        </references>
      </pivotArea>
    </format>
    <format dxfId="98">
      <pivotArea outline="0" fieldPosition="0">
        <references count="1">
          <reference field="4294967294" count="1">
            <x v="1"/>
          </reference>
        </references>
      </pivotArea>
    </format>
    <format dxfId="97">
      <pivotArea type="all" dataOnly="0" outline="0" fieldPosition="0"/>
    </format>
    <format dxfId="96">
      <pivotArea outline="0" collapsedLevelsAreSubtotals="1" fieldPosition="0"/>
    </format>
    <format dxfId="95">
      <pivotArea field="4" type="button" dataOnly="0" labelOnly="1" outline="0" axis="axisCol" fieldPosition="0"/>
    </format>
    <format dxfId="94">
      <pivotArea dataOnly="0" labelOnly="1" grandRow="1" outline="0" fieldPosition="0"/>
    </format>
    <format dxfId="93">
      <pivotArea dataOnly="0" labelOnly="1" outline="0" fieldPosition="0">
        <references count="1">
          <reference field="4294967294" count="2">
            <x v="0"/>
            <x v="1"/>
          </reference>
        </references>
      </pivotArea>
    </format>
    <format dxfId="92">
      <pivotArea outline="0" collapsedLevelsAreSubtotals="1" fieldPosition="0">
        <references count="1">
          <reference field="4294967294" count="1" selected="0">
            <x v="1"/>
          </reference>
        </references>
      </pivotArea>
    </format>
    <format dxfId="91">
      <pivotArea dataOnly="0" labelOnly="1" outline="0" fieldPosition="0">
        <references count="1">
          <reference field="4294967294" count="1">
            <x v="1"/>
          </reference>
        </references>
      </pivotArea>
    </format>
    <format dxfId="90">
      <pivotArea outline="0" collapsedLevelsAreSubtotals="1" fieldPosition="0">
        <references count="1">
          <reference field="4294967294" count="1" selected="0">
            <x v="0"/>
          </reference>
        </references>
      </pivotArea>
    </format>
    <format dxfId="89">
      <pivotArea dataOnly="0" labelOnly="1" outline="0" fieldPosition="0">
        <references count="1">
          <reference field="4294967294" count="1">
            <x v="0"/>
          </reference>
        </references>
      </pivotArea>
    </format>
  </formats>
  <chartFormats count="46">
    <chartFormat chart="8" format="12" series="1">
      <pivotArea type="data" outline="0" fieldPosition="0">
        <references count="3">
          <reference field="4294967294" count="1" selected="0">
            <x v="0"/>
          </reference>
          <reference field="3" count="1" selected="0">
            <x v="3"/>
          </reference>
          <reference field="4" count="1" selected="0">
            <x v="2"/>
          </reference>
        </references>
      </pivotArea>
    </chartFormat>
    <chartFormat chart="8" format="13">
      <pivotArea type="data" outline="0" fieldPosition="0">
        <references count="3">
          <reference field="4294967294" count="1" selected="0">
            <x v="0"/>
          </reference>
          <reference field="3" count="1" selected="0">
            <x v="3"/>
          </reference>
          <reference field="4" count="1" selected="0">
            <x v="2"/>
          </reference>
        </references>
      </pivotArea>
    </chartFormat>
    <chartFormat chart="8" format="14">
      <pivotArea type="data" outline="0" fieldPosition="0">
        <references count="3">
          <reference field="4294967294" count="1" selected="0">
            <x v="1"/>
          </reference>
          <reference field="3" count="1" selected="0">
            <x v="3"/>
          </reference>
          <reference field="4" count="1" selected="0">
            <x v="2"/>
          </reference>
        </references>
      </pivotArea>
    </chartFormat>
    <chartFormat chart="8" format="15" series="1">
      <pivotArea type="data" outline="0" fieldPosition="0">
        <references count="3">
          <reference field="4294967294" count="1" selected="0">
            <x v="0"/>
          </reference>
          <reference field="3" count="1" selected="0">
            <x v="4"/>
          </reference>
          <reference field="4" count="1" selected="0">
            <x v="2"/>
          </reference>
        </references>
      </pivotArea>
    </chartFormat>
    <chartFormat chart="8" format="16" series="1">
      <pivotArea type="data" outline="0" fieldPosition="0">
        <references count="3">
          <reference field="4294967294" count="1" selected="0">
            <x v="0"/>
          </reference>
          <reference field="3" count="1" selected="0">
            <x v="6"/>
          </reference>
          <reference field="4" count="1" selected="0">
            <x v="2"/>
          </reference>
        </references>
      </pivotArea>
    </chartFormat>
    <chartFormat chart="8" format="17" series="1">
      <pivotArea type="data" outline="0" fieldPosition="0">
        <references count="3">
          <reference field="4294967294" count="1" selected="0">
            <x v="0"/>
          </reference>
          <reference field="3" count="1" selected="0">
            <x v="2"/>
          </reference>
          <reference field="4" count="1" selected="0">
            <x v="2"/>
          </reference>
        </references>
      </pivotArea>
    </chartFormat>
    <chartFormat chart="8" format="18" series="1">
      <pivotArea type="data" outline="0" fieldPosition="0">
        <references count="1">
          <reference field="4294967294" count="1" selected="0">
            <x v="0"/>
          </reference>
        </references>
      </pivotArea>
    </chartFormat>
    <chartFormat chart="8" format="19" series="1">
      <pivotArea type="data" outline="0" fieldPosition="0">
        <references count="3">
          <reference field="4294967294" count="1" selected="0">
            <x v="0"/>
          </reference>
          <reference field="3" count="1" selected="0">
            <x v="11"/>
          </reference>
          <reference field="4" count="1" selected="0">
            <x v="0"/>
          </reference>
        </references>
      </pivotArea>
    </chartFormat>
    <chartFormat chart="8" format="20">
      <pivotArea type="data" outline="0" fieldPosition="0">
        <references count="3">
          <reference field="4294967294" count="1" selected="0">
            <x v="0"/>
          </reference>
          <reference field="3" count="1" selected="0">
            <x v="11"/>
          </reference>
          <reference field="4" count="1" selected="0">
            <x v="0"/>
          </reference>
        </references>
      </pivotArea>
    </chartFormat>
    <chartFormat chart="8" format="21">
      <pivotArea type="data" outline="0" fieldPosition="0">
        <references count="3">
          <reference field="4294967294" count="1" selected="0">
            <x v="1"/>
          </reference>
          <reference field="3" count="1" selected="0">
            <x v="11"/>
          </reference>
          <reference field="4" count="1" selected="0">
            <x v="0"/>
          </reference>
        </references>
      </pivotArea>
    </chartFormat>
    <chartFormat chart="8" format="22" series="1">
      <pivotArea type="data" outline="0" fieldPosition="0">
        <references count="3">
          <reference field="4294967294" count="1" selected="0">
            <x v="0"/>
          </reference>
          <reference field="3" count="1" selected="0">
            <x v="0"/>
          </reference>
          <reference field="4" count="1" selected="0">
            <x v="1"/>
          </reference>
        </references>
      </pivotArea>
    </chartFormat>
    <chartFormat chart="8" format="23" series="1">
      <pivotArea type="data" outline="0" fieldPosition="0">
        <references count="3">
          <reference field="4294967294" count="1" selected="0">
            <x v="0"/>
          </reference>
          <reference field="3" count="1" selected="0">
            <x v="8"/>
          </reference>
          <reference field="4" count="1" selected="0">
            <x v="1"/>
          </reference>
        </references>
      </pivotArea>
    </chartFormat>
    <chartFormat chart="8" format="24">
      <pivotArea type="data" outline="0" fieldPosition="0">
        <references count="3">
          <reference field="4294967294" count="1" selected="0">
            <x v="0"/>
          </reference>
          <reference field="3" count="1" selected="0">
            <x v="8"/>
          </reference>
          <reference field="4" count="1" selected="0">
            <x v="1"/>
          </reference>
        </references>
      </pivotArea>
    </chartFormat>
    <chartFormat chart="8" format="25" series="1">
      <pivotArea type="data" outline="0" fieldPosition="0">
        <references count="3">
          <reference field="4294967294" count="1" selected="0">
            <x v="0"/>
          </reference>
          <reference field="3" count="1" selected="0">
            <x v="0"/>
          </reference>
          <reference field="4" count="1" selected="0">
            <x v="2"/>
          </reference>
        </references>
      </pivotArea>
    </chartFormat>
    <chartFormat chart="8" format="26" series="1">
      <pivotArea type="data" outline="0" fieldPosition="0">
        <references count="3">
          <reference field="4294967294" count="1" selected="0">
            <x v="0"/>
          </reference>
          <reference field="3" count="1" selected="0">
            <x v="0"/>
          </reference>
          <reference field="4" count="1" selected="0">
            <x v="3"/>
          </reference>
        </references>
      </pivotArea>
    </chartFormat>
    <chartFormat chart="8" format="27" series="1">
      <pivotArea type="data" outline="0" fieldPosition="0">
        <references count="3">
          <reference field="4294967294" count="1" selected="0">
            <x v="0"/>
          </reference>
          <reference field="3" count="1" selected="0">
            <x v="2"/>
          </reference>
          <reference field="4" count="1" selected="0">
            <x v="1"/>
          </reference>
        </references>
      </pivotArea>
    </chartFormat>
    <chartFormat chart="8" format="28" series="1">
      <pivotArea type="data" outline="0" fieldPosition="0">
        <references count="3">
          <reference field="4294967294" count="1" selected="0">
            <x v="0"/>
          </reference>
          <reference field="3" count="1" selected="0">
            <x v="3"/>
          </reference>
          <reference field="4" count="1" selected="0">
            <x v="1"/>
          </reference>
        </references>
      </pivotArea>
    </chartFormat>
    <chartFormat chart="8" format="29" series="1">
      <pivotArea type="data" outline="0" fieldPosition="0">
        <references count="3">
          <reference field="4294967294" count="1" selected="0">
            <x v="0"/>
          </reference>
          <reference field="3" count="1" selected="0">
            <x v="4"/>
          </reference>
          <reference field="4" count="1" selected="0">
            <x v="1"/>
          </reference>
        </references>
      </pivotArea>
    </chartFormat>
    <chartFormat chart="8" format="30" series="1">
      <pivotArea type="data" outline="0" fieldPosition="0">
        <references count="3">
          <reference field="4294967294" count="1" selected="0">
            <x v="0"/>
          </reference>
          <reference field="3" count="1" selected="0">
            <x v="5"/>
          </reference>
          <reference field="4" count="1" selected="0">
            <x v="1"/>
          </reference>
        </references>
      </pivotArea>
    </chartFormat>
    <chartFormat chart="8" format="31" series="1">
      <pivotArea type="data" outline="0" fieldPosition="0">
        <references count="3">
          <reference field="4294967294" count="1" selected="0">
            <x v="0"/>
          </reference>
          <reference field="3" count="1" selected="0">
            <x v="6"/>
          </reference>
          <reference field="4" count="1" selected="0">
            <x v="1"/>
          </reference>
        </references>
      </pivotArea>
    </chartFormat>
    <chartFormat chart="8" format="32" series="1">
      <pivotArea type="data" outline="0" fieldPosition="0">
        <references count="3">
          <reference field="4294967294" count="1" selected="0">
            <x v="0"/>
          </reference>
          <reference field="3" count="1" selected="0">
            <x v="7"/>
          </reference>
          <reference field="4" count="1" selected="0">
            <x v="1"/>
          </reference>
        </references>
      </pivotArea>
    </chartFormat>
    <chartFormat chart="8" format="33" series="1">
      <pivotArea type="data" outline="0" fieldPosition="0">
        <references count="3">
          <reference field="4294967294" count="1" selected="0">
            <x v="0"/>
          </reference>
          <reference field="3" count="1" selected="0">
            <x v="9"/>
          </reference>
          <reference field="4" count="1" selected="0">
            <x v="1"/>
          </reference>
        </references>
      </pivotArea>
    </chartFormat>
    <chartFormat chart="8" format="34" series="1">
      <pivotArea type="data" outline="0" fieldPosition="0">
        <references count="3">
          <reference field="4294967294" count="1" selected="0">
            <x v="0"/>
          </reference>
          <reference field="3" count="1" selected="0">
            <x v="10"/>
          </reference>
          <reference field="4" count="1" selected="0">
            <x v="1"/>
          </reference>
        </references>
      </pivotArea>
    </chartFormat>
    <chartFormat chart="8" format="35" series="1">
      <pivotArea type="data" outline="0" fieldPosition="0">
        <references count="3">
          <reference field="4294967294" count="1" selected="0">
            <x v="0"/>
          </reference>
          <reference field="3" count="1" selected="0">
            <x v="11"/>
          </reference>
          <reference field="4" count="1" selected="0">
            <x v="1"/>
          </reference>
        </references>
      </pivotArea>
    </chartFormat>
    <chartFormat chart="8" format="36" series="1">
      <pivotArea type="data" outline="0" fieldPosition="0">
        <references count="3">
          <reference field="4294967294" count="1" selected="0">
            <x v="0"/>
          </reference>
          <reference field="3" count="1" selected="0">
            <x v="1"/>
          </reference>
          <reference field="4" count="1" selected="0">
            <x v="2"/>
          </reference>
        </references>
      </pivotArea>
    </chartFormat>
    <chartFormat chart="8" format="37" series="1">
      <pivotArea type="data" outline="0" fieldPosition="0">
        <references count="3">
          <reference field="4294967294" count="1" selected="0">
            <x v="0"/>
          </reference>
          <reference field="3" count="1" selected="0">
            <x v="5"/>
          </reference>
          <reference field="4" count="1" selected="0">
            <x v="2"/>
          </reference>
        </references>
      </pivotArea>
    </chartFormat>
    <chartFormat chart="8" format="38" series="1">
      <pivotArea type="data" outline="0" fieldPosition="0">
        <references count="3">
          <reference field="4294967294" count="1" selected="0">
            <x v="0"/>
          </reference>
          <reference field="3" count="1" selected="0">
            <x v="7"/>
          </reference>
          <reference field="4" count="1" selected="0">
            <x v="2"/>
          </reference>
        </references>
      </pivotArea>
    </chartFormat>
    <chartFormat chart="8" format="39" series="1">
      <pivotArea type="data" outline="0" fieldPosition="0">
        <references count="3">
          <reference field="4294967294" count="1" selected="0">
            <x v="0"/>
          </reference>
          <reference field="3" count="1" selected="0">
            <x v="8"/>
          </reference>
          <reference field="4" count="1" selected="0">
            <x v="2"/>
          </reference>
        </references>
      </pivotArea>
    </chartFormat>
    <chartFormat chart="8" format="40" series="1">
      <pivotArea type="data" outline="0" fieldPosition="0">
        <references count="3">
          <reference field="4294967294" count="1" selected="0">
            <x v="0"/>
          </reference>
          <reference field="3" count="1" selected="0">
            <x v="9"/>
          </reference>
          <reference field="4" count="1" selected="0">
            <x v="2"/>
          </reference>
        </references>
      </pivotArea>
    </chartFormat>
    <chartFormat chart="8" format="41" series="1">
      <pivotArea type="data" outline="0" fieldPosition="0">
        <references count="3">
          <reference field="4294967294" count="1" selected="0">
            <x v="0"/>
          </reference>
          <reference field="3" count="1" selected="0">
            <x v="10"/>
          </reference>
          <reference field="4" count="1" selected="0">
            <x v="2"/>
          </reference>
        </references>
      </pivotArea>
    </chartFormat>
    <chartFormat chart="8" format="42" series="1">
      <pivotArea type="data" outline="0" fieldPosition="0">
        <references count="3">
          <reference field="4294967294" count="1" selected="0">
            <x v="0"/>
          </reference>
          <reference field="3" count="1" selected="0">
            <x v="11"/>
          </reference>
          <reference field="4" count="1" selected="0">
            <x v="2"/>
          </reference>
        </references>
      </pivotArea>
    </chartFormat>
    <chartFormat chart="8" format="43" series="1">
      <pivotArea type="data" outline="0" fieldPosition="0">
        <references count="3">
          <reference field="4294967294" count="1" selected="0">
            <x v="0"/>
          </reference>
          <reference field="3" count="1" selected="0">
            <x v="1"/>
          </reference>
          <reference field="4" count="1" selected="0">
            <x v="3"/>
          </reference>
        </references>
      </pivotArea>
    </chartFormat>
    <chartFormat chart="8" format="44" series="1">
      <pivotArea type="data" outline="0" fieldPosition="0">
        <references count="3">
          <reference field="4294967294" count="1" selected="0">
            <x v="0"/>
          </reference>
          <reference field="3" count="1" selected="0">
            <x v="2"/>
          </reference>
          <reference field="4" count="1" selected="0">
            <x v="3"/>
          </reference>
        </references>
      </pivotArea>
    </chartFormat>
    <chartFormat chart="8" format="45" series="1">
      <pivotArea type="data" outline="0" fieldPosition="0">
        <references count="3">
          <reference field="4294967294" count="1" selected="0">
            <x v="0"/>
          </reference>
          <reference field="3" count="1" selected="0">
            <x v="3"/>
          </reference>
          <reference field="4" count="1" selected="0">
            <x v="3"/>
          </reference>
        </references>
      </pivotArea>
    </chartFormat>
    <chartFormat chart="8" format="46" series="1">
      <pivotArea type="data" outline="0" fieldPosition="0">
        <references count="3">
          <reference field="4294967294" count="1" selected="0">
            <x v="0"/>
          </reference>
          <reference field="3" count="1" selected="0">
            <x v="4"/>
          </reference>
          <reference field="4" count="1" selected="0">
            <x v="3"/>
          </reference>
        </references>
      </pivotArea>
    </chartFormat>
    <chartFormat chart="8" format="47" series="1">
      <pivotArea type="data" outline="0" fieldPosition="0">
        <references count="3">
          <reference field="4294967294" count="1" selected="0">
            <x v="0"/>
          </reference>
          <reference field="3" count="1" selected="0">
            <x v="5"/>
          </reference>
          <reference field="4" count="1" selected="0">
            <x v="3"/>
          </reference>
        </references>
      </pivotArea>
    </chartFormat>
    <chartFormat chart="8" format="48" series="1">
      <pivotArea type="data" outline="0" fieldPosition="0">
        <references count="3">
          <reference field="4294967294" count="1" selected="0">
            <x v="0"/>
          </reference>
          <reference field="3" count="1" selected="0">
            <x v="6"/>
          </reference>
          <reference field="4" count="1" selected="0">
            <x v="3"/>
          </reference>
        </references>
      </pivotArea>
    </chartFormat>
    <chartFormat chart="8" format="49" series="1">
      <pivotArea type="data" outline="0" fieldPosition="0">
        <references count="3">
          <reference field="4294967294" count="1" selected="0">
            <x v="0"/>
          </reference>
          <reference field="3" count="1" selected="0">
            <x v="7"/>
          </reference>
          <reference field="4" count="1" selected="0">
            <x v="3"/>
          </reference>
        </references>
      </pivotArea>
    </chartFormat>
    <chartFormat chart="8" format="50" series="1">
      <pivotArea type="data" outline="0" fieldPosition="0">
        <references count="3">
          <reference field="4294967294" count="1" selected="0">
            <x v="0"/>
          </reference>
          <reference field="3" count="1" selected="0">
            <x v="8"/>
          </reference>
          <reference field="4" count="1" selected="0">
            <x v="3"/>
          </reference>
        </references>
      </pivotArea>
    </chartFormat>
    <chartFormat chart="8" format="51" series="1">
      <pivotArea type="data" outline="0" fieldPosition="0">
        <references count="3">
          <reference field="4294967294" count="1" selected="0">
            <x v="0"/>
          </reference>
          <reference field="3" count="1" selected="0">
            <x v="9"/>
          </reference>
          <reference field="4" count="1" selected="0">
            <x v="3"/>
          </reference>
        </references>
      </pivotArea>
    </chartFormat>
    <chartFormat chart="8" format="52" series="1">
      <pivotArea type="data" outline="0" fieldPosition="0">
        <references count="3">
          <reference field="4294967294" count="1" selected="0">
            <x v="0"/>
          </reference>
          <reference field="3" count="1" selected="0">
            <x v="10"/>
          </reference>
          <reference field="4" count="1" selected="0">
            <x v="3"/>
          </reference>
        </references>
      </pivotArea>
    </chartFormat>
    <chartFormat chart="8" format="53" series="1">
      <pivotArea type="data" outline="0" fieldPosition="0">
        <references count="3">
          <reference field="4294967294" count="1" selected="0">
            <x v="0"/>
          </reference>
          <reference field="3" count="1" selected="0">
            <x v="11"/>
          </reference>
          <reference field="4" count="1" selected="0">
            <x v="3"/>
          </reference>
        </references>
      </pivotArea>
    </chartFormat>
    <chartFormat chart="8" format="54">
      <pivotArea type="data" outline="0" fieldPosition="0">
        <references count="3">
          <reference field="4294967294" count="1" selected="0">
            <x v="0"/>
          </reference>
          <reference field="3" count="1" selected="0">
            <x v="0"/>
          </reference>
          <reference field="4" count="1" selected="0">
            <x v="1"/>
          </reference>
        </references>
      </pivotArea>
    </chartFormat>
    <chartFormat chart="8" format="55">
      <pivotArea type="data" outline="0" fieldPosition="0">
        <references count="3">
          <reference field="4294967294" count="1" selected="0">
            <x v="1"/>
          </reference>
          <reference field="3" count="1" selected="0">
            <x v="0"/>
          </reference>
          <reference field="4" count="1" selected="0">
            <x v="1"/>
          </reference>
        </references>
      </pivotArea>
    </chartFormat>
    <chartFormat chart="8" format="56">
      <pivotArea type="data" outline="0" fieldPosition="0">
        <references count="3">
          <reference field="4294967294" count="1" selected="0">
            <x v="0"/>
          </reference>
          <reference field="3" count="1" selected="0">
            <x v="0"/>
          </reference>
          <reference field="4" count="1" selected="0">
            <x v="2"/>
          </reference>
        </references>
      </pivotArea>
    </chartFormat>
    <chartFormat chart="8" format="57">
      <pivotArea type="data" outline="0" fieldPosition="0">
        <references count="3">
          <reference field="4294967294" count="1" selected="0">
            <x v="1"/>
          </reference>
          <reference field="3"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51AA85B-2CEE-9D45-A8E5-2295D5D6A586}" name="PivotTable8" cacheId="7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I11:J16" firstHeaderRow="1" firstDataRow="1" firstDataCol="1"/>
  <pivotFields count="25">
    <pivotField showAll="0"/>
    <pivotField numFmtId="14" showAll="0">
      <items count="39">
        <item m="1" x="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numFmtId="14" showAll="0">
      <items count="39">
        <item m="1" x="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t="default"/>
      </items>
    </pivotField>
    <pivotField showAll="0"/>
    <pivotField axis="axisRow" showAll="0">
      <items count="6">
        <item m="1" x="4"/>
        <item x="0"/>
        <item x="1"/>
        <item x="2"/>
        <item x="3"/>
        <item t="default"/>
      </items>
    </pivotField>
    <pivotField numFmtId="164" showAll="0"/>
    <pivotField numFmtId="164" showAll="0"/>
    <pivotField numFmtId="164" showAll="0"/>
    <pivotField numFmtId="164" showAll="0"/>
    <pivotField numFmtId="164" showAll="0"/>
    <pivotField numFmtId="164" showAll="0"/>
    <pivotField numFmtId="164" showAll="0"/>
    <pivotField numFmtId="164" showAll="0"/>
    <pivotField numFmtId="166" showAll="0"/>
    <pivotField numFmtId="10" showAll="0"/>
    <pivotField numFmtId="165" showAll="0"/>
    <pivotField numFmtId="165" showAll="0"/>
    <pivotField showAll="0"/>
    <pivotField dataField="1" numFmtId="165" showAll="0"/>
    <pivotField showAll="0" defaultSubtotal="0"/>
    <pivotField showAll="0" defaultSubtotal="0"/>
    <pivotField showAll="0" defaultSubtotal="0">
      <items count="6">
        <item x="0"/>
        <item x="1"/>
        <item x="2"/>
        <item x="3"/>
        <item x="4"/>
        <item x="5"/>
      </items>
    </pivotField>
    <pivotField showAll="0" defaultSubtotal="0"/>
    <pivotField showAll="0" defaultSubtotal="0"/>
    <pivotField showAll="0" defaultSubtotal="0">
      <items count="6">
        <item x="0"/>
        <item x="1"/>
        <item x="2"/>
        <item x="3"/>
        <item x="4"/>
        <item x="5"/>
      </items>
    </pivotField>
  </pivotFields>
  <rowFields count="1">
    <field x="4"/>
  </rowFields>
  <rowItems count="5">
    <i>
      <x v="1"/>
    </i>
    <i>
      <x v="2"/>
    </i>
    <i>
      <x v="3"/>
    </i>
    <i>
      <x v="4"/>
    </i>
    <i t="grand">
      <x/>
    </i>
  </rowItems>
  <colItems count="1">
    <i/>
  </colItems>
  <dataFields count="1">
    <dataField name="Sum of loan disber" fld="18" baseField="0" baseItem="0" numFmtId="165"/>
  </dataField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F041636F-FBD5-5B4D-859E-BA8FACACC3DC}" sourceName="Month">
  <pivotTables>
    <pivotTable tabId="5" name="PivotTable3"/>
    <pivotTable tabId="5" name="PivotTable1"/>
    <pivotTable tabId="5" name="PivotTable2"/>
    <pivotTable tabId="5" name="PivotTable7"/>
  </pivotTables>
  <data>
    <tabular pivotCacheId="324373233">
      <items count="12">
        <i x="1"/>
        <i x="2"/>
        <i x="3" s="1"/>
        <i x="4"/>
        <i x="5"/>
        <i x="6"/>
        <i x="7"/>
        <i x="8"/>
        <i x="9"/>
        <i x="10"/>
        <i x="11"/>
        <i x="0"/>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18C6E09-E966-424C-B5BD-81F4CDEFDC23}" sourceName="Year">
  <pivotTables>
    <pivotTable tabId="5" name="PivotTable3"/>
    <pivotTable tabId="5" name="PivotTable1"/>
    <pivotTable tabId="5" name="PivotTable2"/>
    <pivotTable tabId="5" name="PivotTable7"/>
  </pivotTables>
  <data>
    <tabular pivotCacheId="324373233" showMissing="0">
      <items count="5">
        <i x="1" s="1"/>
        <i x="2"/>
        <i x="3"/>
        <i x="0" nd="1"/>
        <i x="4"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DAD4C3F0-A1B7-844A-97DC-E60E3373162F}" sourceName="Year">
  <pivotTables>
    <pivotTable tabId="5" name="PivotTable9"/>
    <pivotTable tabId="5" name="PivotTable12"/>
  </pivotTables>
  <data>
    <tabular pivotCacheId="324373233">
      <items count="5">
        <i x="0"/>
        <i x="1" s="1"/>
        <i x="2"/>
        <i x="3"/>
        <i x="4"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E6F086E3-BF5B-5D41-8516-E376F977ACA6}" cache="Slicer_Month" caption="Month" style="SlicerStyleDark1 2" rowHeight="502920"/>
  <slicer name="Year 1" xr10:uid="{489C9DCB-F884-3747-B6E8-004FD56DD742}" cache="Slicer_Year" caption="Year" columnCount="2" style="SlicerStyleDark1 2" rowHeight="457200"/>
  <slicer name="Year" xr10:uid="{C9567ECA-8C3A-F94C-BEF7-26C620BFCEC5}" cache="Slicer_Year1" caption="Year" columnCount="2" style="SlicerStyleDark1 2"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33F5B3C-E38F-F941-8F4E-784AE7469D20}" name="Table1" displayName="Table1" ref="A1:G38" totalsRowShown="0" headerRowDxfId="138" dataDxfId="137" tableBorderDxfId="136">
  <autoFilter ref="A1:G38" xr:uid="{B33F5B3C-E38F-F941-8F4E-784AE7469D20}"/>
  <tableColumns count="7">
    <tableColumn id="1" xr3:uid="{671B5A36-BF6E-144F-902B-8143EBDB61C0}" name="Sr.No." dataDxfId="135"/>
    <tableColumn id="2" xr3:uid="{29D40D73-59C1-0048-91F0-7F8CDFE7DC63}" name="Due Date" dataDxfId="134"/>
    <tableColumn id="3" xr3:uid="{99CB0B1D-90F6-134F-BEEC-C900351C5555}" name="Payment Due" dataDxfId="133"/>
    <tableColumn id="4" xr3:uid="{5A56A6BD-3F50-1F40-A0F2-D2FCE9DCFC89}" name="Interest" dataDxfId="132"/>
    <tableColumn id="5" xr3:uid="{104A26BF-1536-434D-A768-3D2357D03B69}" name="Principal" dataDxfId="131"/>
    <tableColumn id="6" xr3:uid="{3FD87B20-C717-274A-B7C5-658B0B84D898}" name="Interest Accrued" dataDxfId="130"/>
    <tableColumn id="7" xr3:uid="{E131F907-8938-9741-8193-028FEB7F17B3}" name="Total Outstanding" dataDxfId="12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6683245-0785-2D44-81C1-EED8E7D9144D}" name="Table2" displayName="Table2" ref="A1:G25" totalsRowShown="0" headerRowDxfId="128" dataDxfId="127" tableBorderDxfId="126">
  <autoFilter ref="A1:G25" xr:uid="{B6683245-0785-2D44-81C1-EED8E7D9144D}"/>
  <tableColumns count="7">
    <tableColumn id="1" xr3:uid="{7F93C4A4-17DD-C54C-8FB9-5F0B2345B481}" name="Sr.No." dataDxfId="125"/>
    <tableColumn id="2" xr3:uid="{75E54757-A2EB-974D-A69F-7FDED6760112}" name="Due Date" dataDxfId="124"/>
    <tableColumn id="3" xr3:uid="{735E5B2B-EAF4-9F4A-AB93-DF296D8CEC9B}" name="Payment Due" dataDxfId="123"/>
    <tableColumn id="4" xr3:uid="{1D7C9DE5-B497-5841-B6C8-F139B38C2E55}" name="Interest" dataDxfId="122"/>
    <tableColumn id="5" xr3:uid="{0C866DBB-D85D-8F48-9A55-D39E02220D20}" name="Principal" dataDxfId="121"/>
    <tableColumn id="6" xr3:uid="{20F62B00-E42E-674B-871A-2E3CA671649C}" name="Interest Accrued" dataDxfId="120"/>
    <tableColumn id="7" xr3:uid="{3A8302C8-5BF9-E04D-82AD-C3D9CD495251}" name="Total Outstanding" dataDxfId="119"/>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1E0DF80-FDA1-8B47-A72F-DDDC3F50FC4D}" name="Table6" displayName="Table6" ref="A1:S38" totalsRowShown="0" headerRowDxfId="118" tableBorderDxfId="117">
  <autoFilter ref="A1:S38" xr:uid="{B1E0DF80-FDA1-8B47-A72F-DDDC3F50FC4D}"/>
  <tableColumns count="19">
    <tableColumn id="1" xr3:uid="{94B81D34-8D6B-DF49-AC0A-B3CA911012AD}" name="Sr.No."/>
    <tableColumn id="2" xr3:uid="{0C3C6915-B886-544F-B038-27A198B0D09A}" name="Due Date" dataDxfId="116"/>
    <tableColumn id="3" xr3:uid="{A6E3F1BD-7072-C748-B23A-65FA9211AA5A}" name="Date in (MM/DD/YY)" dataDxfId="115">
      <calculatedColumnFormula>DATE(YEAR(B2), DAY(B2), MONTH(B2))</calculatedColumnFormula>
    </tableColumn>
    <tableColumn id="4" xr3:uid="{5D69BA3D-1B7C-5249-A020-4DB6D372B2BC}" name="Month">
      <calculatedColumnFormula>TEXT(Combine_35Lakhs!$C2, "mmmm")</calculatedColumnFormula>
    </tableColumn>
    <tableColumn id="5" xr3:uid="{ADA9654B-2099-D94D-B7DC-2AB58462389D}" name="Year" dataDxfId="114">
      <calculatedColumnFormula>YEAR(C2)</calculatedColumnFormula>
    </tableColumn>
    <tableColumn id="6" xr3:uid="{5B62273F-1240-964C-A3A2-06E33D6203D5}" name="Payment Due" dataDxfId="113"/>
    <tableColumn id="7" xr3:uid="{EBF258CA-4A6F-D24B-AA64-344452D2B059}" name="Interest" dataDxfId="112"/>
    <tableColumn id="8" xr3:uid="{F9F8A229-4C77-F341-82D8-DF7D1874D74C}" name="Principal Paid" dataDxfId="111"/>
    <tableColumn id="9" xr3:uid="{675F0116-47FC-2140-B6EC-AE7FCB7825EB}" name="Interest Accrued" dataDxfId="110"/>
    <tableColumn id="10" xr3:uid="{FBCD6475-226B-E443-B587-2305F3ED0E69}" name="Total Outstanding" dataDxfId="109"/>
    <tableColumn id="11" xr3:uid="{09AD3E1A-2E65-554E-807E-6A5E0128B3B5}" name="Principal " dataDxfId="108">
      <calculatedColumnFormula>SUM($H$2:H8)</calculatedColumnFormula>
    </tableColumn>
    <tableColumn id="12" xr3:uid="{31D3729B-E531-4A41-B2BF-E66AED6BBC0C}" name="Total Interest need to paid" dataDxfId="107">
      <calculatedColumnFormula>SUM($G$2:G2)</calculatedColumnFormula>
    </tableColumn>
    <tableColumn id="13" xr3:uid="{3718F63A-4032-0940-8847-5CDC86B3594D}" name="Cumulative Interest Paid" dataDxfId="106">
      <calculatedColumnFormula>SUM($F$2:F2)</calculatedColumnFormula>
    </tableColumn>
    <tableColumn id="14" xr3:uid="{E2635D6E-2511-1A48-AB22-A994E642613D}" name="APR" dataDxfId="105"/>
    <tableColumn id="15" xr3:uid="{9DC8F8E7-F924-DD43-AAA7-56FD26446CCE}" name="Monthly intrest rate" dataDxfId="104">
      <calculatedColumnFormula>N2/12</calculatedColumnFormula>
    </tableColumn>
    <tableColumn id="16" xr3:uid="{D1B0A375-09B0-1A43-A66A-8C0855173752}" name="Slider" dataDxfId="103"/>
    <tableColumn id="17" xr3:uid="{5E3E0CC4-CFDA-ED47-A994-FDE99F7898E4}" name="payment" dataDxfId="102">
      <calculatedColumnFormula>P2*20</calculatedColumnFormula>
    </tableColumn>
    <tableColumn id="18" xr3:uid="{2C58203E-041C-A241-9DDC-A5D7F61A367E}" name="how many months it takes to repay" dataDxfId="101">
      <calculatedColumnFormula>IFERROR(NPER(Table6[[#This Row],[Monthly intrest rate]],-Table6[[#This Row],[payment]],Table6[[#This Row],[Total Outstanding]]),"amount is too small")</calculatedColumnFormula>
    </tableColumn>
    <tableColumn id="19" xr3:uid="{B6B8BA45-9BFA-CC47-B318-B6332879F6E9}" name="loan disber" dataDxfId="100"/>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Candara">
      <a:majorFont>
        <a:latin typeface="Candara" panose="020E0502030303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Candara" panose="020E0502030303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61DA2-5663-3C4B-9FE1-97B5D4636347}">
  <sheetPr codeName="Sheet1"/>
  <dimension ref="A1:G38"/>
  <sheetViews>
    <sheetView workbookViewId="0">
      <selection sqref="A1:G1"/>
    </sheetView>
    <sheetView workbookViewId="1"/>
  </sheetViews>
  <sheetFormatPr baseColWidth="10" defaultRowHeight="18" x14ac:dyDescent="0.25"/>
  <cols>
    <col min="1" max="1" width="13.28515625" customWidth="1"/>
    <col min="2" max="2" width="15.28515625" customWidth="1"/>
    <col min="3" max="3" width="14.28515625" customWidth="1"/>
    <col min="4" max="4" width="14.42578125" customWidth="1"/>
    <col min="5" max="5" width="14" customWidth="1"/>
    <col min="6" max="6" width="18.7109375" customWidth="1"/>
    <col min="7" max="7" width="17.42578125" customWidth="1"/>
  </cols>
  <sheetData>
    <row r="1" spans="1:7" x14ac:dyDescent="0.25">
      <c r="A1" s="1" t="s">
        <v>0</v>
      </c>
      <c r="B1" s="2" t="s">
        <v>1</v>
      </c>
      <c r="C1" s="3" t="s">
        <v>2</v>
      </c>
      <c r="D1" s="3" t="s">
        <v>3</v>
      </c>
      <c r="E1" s="3" t="s">
        <v>4</v>
      </c>
      <c r="F1" s="3" t="s">
        <v>5</v>
      </c>
      <c r="G1" s="3" t="s">
        <v>6</v>
      </c>
    </row>
    <row r="2" spans="1:7" x14ac:dyDescent="0.25">
      <c r="A2" s="4">
        <v>1</v>
      </c>
      <c r="B2" s="5">
        <v>45242</v>
      </c>
      <c r="C2" s="6">
        <v>1545</v>
      </c>
      <c r="D2" s="6">
        <v>5369</v>
      </c>
      <c r="E2" s="6">
        <v>0</v>
      </c>
      <c r="F2" s="6">
        <v>3824</v>
      </c>
      <c r="G2" s="6">
        <v>1549136</v>
      </c>
    </row>
    <row r="3" spans="1:7" x14ac:dyDescent="0.25">
      <c r="A3" s="7">
        <v>2</v>
      </c>
      <c r="B3" s="8">
        <v>45597</v>
      </c>
      <c r="C3" s="9">
        <v>1545</v>
      </c>
      <c r="D3" s="9">
        <v>15491</v>
      </c>
      <c r="E3" s="9">
        <v>0</v>
      </c>
      <c r="F3" s="9">
        <v>17770.36</v>
      </c>
      <c r="G3" s="9">
        <v>1563082</v>
      </c>
    </row>
    <row r="4" spans="1:7" x14ac:dyDescent="0.25">
      <c r="A4" s="4">
        <v>3</v>
      </c>
      <c r="B4" s="5">
        <v>45598</v>
      </c>
      <c r="C4" s="6">
        <v>1545</v>
      </c>
      <c r="D4" s="6">
        <v>15631</v>
      </c>
      <c r="E4" s="6">
        <v>0</v>
      </c>
      <c r="F4" s="6">
        <v>31856.1836</v>
      </c>
      <c r="G4" s="6">
        <v>1577168</v>
      </c>
    </row>
    <row r="5" spans="1:7" x14ac:dyDescent="0.25">
      <c r="A5" s="7">
        <v>4</v>
      </c>
      <c r="B5" s="8">
        <v>45599</v>
      </c>
      <c r="C5" s="9">
        <v>1545</v>
      </c>
      <c r="D5" s="9">
        <v>15772</v>
      </c>
      <c r="E5" s="9">
        <v>0</v>
      </c>
      <c r="F5" s="9">
        <v>46082.865436</v>
      </c>
      <c r="G5" s="9">
        <v>1591395</v>
      </c>
    </row>
    <row r="6" spans="1:7" x14ac:dyDescent="0.25">
      <c r="A6" s="4">
        <v>5</v>
      </c>
      <c r="B6" s="5">
        <v>45600</v>
      </c>
      <c r="C6" s="6">
        <v>1545</v>
      </c>
      <c r="D6" s="6">
        <v>15914</v>
      </c>
      <c r="E6" s="6">
        <v>0</v>
      </c>
      <c r="F6" s="6">
        <v>60451.81409036</v>
      </c>
      <c r="G6" s="6">
        <v>1605764</v>
      </c>
    </row>
    <row r="7" spans="1:7" x14ac:dyDescent="0.25">
      <c r="A7" s="7">
        <v>6</v>
      </c>
      <c r="B7" s="8">
        <v>45601</v>
      </c>
      <c r="C7" s="9">
        <v>1545</v>
      </c>
      <c r="D7" s="9">
        <v>16058</v>
      </c>
      <c r="E7" s="9">
        <v>0</v>
      </c>
      <c r="F7" s="9">
        <v>74964.452231263596</v>
      </c>
      <c r="G7" s="9">
        <v>1620276</v>
      </c>
    </row>
    <row r="8" spans="1:7" x14ac:dyDescent="0.25">
      <c r="A8" s="4">
        <v>7</v>
      </c>
      <c r="B8" s="5">
        <v>45602</v>
      </c>
      <c r="C8" s="6">
        <v>1545</v>
      </c>
      <c r="D8" s="6">
        <v>16203</v>
      </c>
      <c r="E8" s="6">
        <v>0</v>
      </c>
      <c r="F8" s="6">
        <v>89622.216753576198</v>
      </c>
      <c r="G8" s="6">
        <v>1634934</v>
      </c>
    </row>
    <row r="9" spans="1:7" x14ac:dyDescent="0.25">
      <c r="A9" s="7">
        <v>8</v>
      </c>
      <c r="B9" s="8">
        <v>45603</v>
      </c>
      <c r="C9" s="9">
        <v>1545</v>
      </c>
      <c r="D9" s="9">
        <v>16349</v>
      </c>
      <c r="E9" s="9">
        <v>0</v>
      </c>
      <c r="F9" s="9">
        <v>104426.558921112</v>
      </c>
      <c r="G9" s="9">
        <v>1649739</v>
      </c>
    </row>
    <row r="10" spans="1:7" x14ac:dyDescent="0.25">
      <c r="A10" s="4">
        <v>9</v>
      </c>
      <c r="B10" s="5">
        <v>45604</v>
      </c>
      <c r="C10" s="6">
        <v>1545</v>
      </c>
      <c r="D10" s="6">
        <v>16497</v>
      </c>
      <c r="E10" s="6">
        <v>0</v>
      </c>
      <c r="F10" s="6">
        <v>119378.944510323</v>
      </c>
      <c r="G10" s="6">
        <v>1664691</v>
      </c>
    </row>
    <row r="11" spans="1:7" x14ac:dyDescent="0.25">
      <c r="A11" s="7">
        <v>10</v>
      </c>
      <c r="B11" s="8">
        <v>45605</v>
      </c>
      <c r="C11" s="9">
        <v>1545</v>
      </c>
      <c r="D11" s="9">
        <v>16647</v>
      </c>
      <c r="E11" s="9">
        <v>0</v>
      </c>
      <c r="F11" s="9">
        <v>134480.85395542599</v>
      </c>
      <c r="G11" s="9">
        <v>1679793</v>
      </c>
    </row>
    <row r="12" spans="1:7" x14ac:dyDescent="0.25">
      <c r="A12" s="4">
        <v>11</v>
      </c>
      <c r="B12" s="5">
        <v>45606</v>
      </c>
      <c r="C12" s="6">
        <v>1545</v>
      </c>
      <c r="D12" s="6">
        <v>16798</v>
      </c>
      <c r="E12" s="6">
        <v>0</v>
      </c>
      <c r="F12" s="6">
        <v>149733.78249498099</v>
      </c>
      <c r="G12" s="6">
        <v>1695046</v>
      </c>
    </row>
    <row r="13" spans="1:7" x14ac:dyDescent="0.25">
      <c r="A13" s="7">
        <v>12</v>
      </c>
      <c r="B13" s="8">
        <v>45607</v>
      </c>
      <c r="C13" s="9">
        <v>1545</v>
      </c>
      <c r="D13" s="9">
        <v>17233</v>
      </c>
      <c r="E13" s="9">
        <v>0</v>
      </c>
      <c r="F13" s="9">
        <v>165422</v>
      </c>
      <c r="G13" s="9">
        <v>1710734</v>
      </c>
    </row>
    <row r="14" spans="1:7" x14ac:dyDescent="0.25">
      <c r="A14" s="4">
        <v>13</v>
      </c>
      <c r="B14" s="5">
        <v>45608</v>
      </c>
      <c r="C14" s="6">
        <v>1545</v>
      </c>
      <c r="D14" s="6">
        <v>17392</v>
      </c>
      <c r="E14" s="6">
        <v>0</v>
      </c>
      <c r="F14" s="6">
        <v>181269</v>
      </c>
      <c r="G14" s="6">
        <v>1726581</v>
      </c>
    </row>
    <row r="15" spans="1:7" x14ac:dyDescent="0.25">
      <c r="A15" s="7">
        <v>14</v>
      </c>
      <c r="B15" s="8">
        <v>45962</v>
      </c>
      <c r="C15" s="9">
        <v>1545</v>
      </c>
      <c r="D15" s="9">
        <v>17554</v>
      </c>
      <c r="E15" s="9">
        <v>0</v>
      </c>
      <c r="F15" s="9">
        <v>197278</v>
      </c>
      <c r="G15" s="9">
        <v>1742590</v>
      </c>
    </row>
    <row r="16" spans="1:7" x14ac:dyDescent="0.25">
      <c r="A16" s="4">
        <v>15</v>
      </c>
      <c r="B16" s="5">
        <v>45963</v>
      </c>
      <c r="C16" s="6">
        <v>1545</v>
      </c>
      <c r="D16" s="6">
        <v>17716</v>
      </c>
      <c r="E16" s="6">
        <v>0</v>
      </c>
      <c r="F16" s="6">
        <v>213449</v>
      </c>
      <c r="G16" s="6">
        <v>1758761</v>
      </c>
    </row>
    <row r="17" spans="1:7" x14ac:dyDescent="0.25">
      <c r="A17" s="7">
        <v>16</v>
      </c>
      <c r="B17" s="8">
        <v>45964</v>
      </c>
      <c r="C17" s="9">
        <v>1545</v>
      </c>
      <c r="D17" s="9">
        <v>17881</v>
      </c>
      <c r="E17" s="9">
        <v>0</v>
      </c>
      <c r="F17" s="9">
        <v>229785</v>
      </c>
      <c r="G17" s="9">
        <v>1775097</v>
      </c>
    </row>
    <row r="18" spans="1:7" x14ac:dyDescent="0.25">
      <c r="A18" s="4">
        <v>17</v>
      </c>
      <c r="B18" s="5">
        <v>45965</v>
      </c>
      <c r="C18" s="6">
        <v>1545</v>
      </c>
      <c r="D18" s="6">
        <v>18047</v>
      </c>
      <c r="E18" s="6">
        <v>0</v>
      </c>
      <c r="F18" s="6">
        <v>246287</v>
      </c>
      <c r="G18" s="6">
        <v>1791599</v>
      </c>
    </row>
    <row r="19" spans="1:7" x14ac:dyDescent="0.25">
      <c r="A19" s="7">
        <v>18</v>
      </c>
      <c r="B19" s="8">
        <v>45966</v>
      </c>
      <c r="C19" s="9">
        <v>1545</v>
      </c>
      <c r="D19" s="9">
        <v>18215</v>
      </c>
      <c r="E19" s="9">
        <v>0</v>
      </c>
      <c r="F19" s="9">
        <v>262956</v>
      </c>
      <c r="G19" s="9">
        <v>1808268</v>
      </c>
    </row>
    <row r="20" spans="1:7" x14ac:dyDescent="0.25">
      <c r="A20" s="4">
        <v>19</v>
      </c>
      <c r="B20" s="5">
        <v>45967</v>
      </c>
      <c r="C20" s="6">
        <v>1545</v>
      </c>
      <c r="D20" s="6">
        <v>18384</v>
      </c>
      <c r="E20" s="6">
        <v>0</v>
      </c>
      <c r="F20" s="6">
        <v>279795</v>
      </c>
      <c r="G20" s="6">
        <v>1825107</v>
      </c>
    </row>
    <row r="21" spans="1:7" x14ac:dyDescent="0.25">
      <c r="A21" s="7">
        <v>20</v>
      </c>
      <c r="B21" s="8">
        <v>45968</v>
      </c>
      <c r="C21" s="9">
        <v>1545</v>
      </c>
      <c r="D21" s="9">
        <v>18555</v>
      </c>
      <c r="E21" s="9">
        <v>0</v>
      </c>
      <c r="F21" s="9">
        <v>296806</v>
      </c>
      <c r="G21" s="9">
        <v>1842118</v>
      </c>
    </row>
    <row r="22" spans="1:7" x14ac:dyDescent="0.25">
      <c r="A22" s="4">
        <v>21</v>
      </c>
      <c r="B22" s="5">
        <v>45969</v>
      </c>
      <c r="C22" s="6">
        <v>1545</v>
      </c>
      <c r="D22" s="6">
        <v>18728</v>
      </c>
      <c r="E22" s="6">
        <v>0</v>
      </c>
      <c r="F22" s="6">
        <v>313989</v>
      </c>
      <c r="G22" s="6">
        <v>1859301</v>
      </c>
    </row>
    <row r="23" spans="1:7" x14ac:dyDescent="0.25">
      <c r="A23" s="7">
        <v>22</v>
      </c>
      <c r="B23" s="8">
        <v>45970</v>
      </c>
      <c r="C23" s="9">
        <v>1545</v>
      </c>
      <c r="D23" s="9">
        <v>18903</v>
      </c>
      <c r="E23" s="9">
        <v>0</v>
      </c>
      <c r="F23" s="9">
        <v>331347</v>
      </c>
      <c r="G23" s="9">
        <v>1876659</v>
      </c>
    </row>
    <row r="24" spans="1:7" x14ac:dyDescent="0.25">
      <c r="A24" s="4">
        <v>23</v>
      </c>
      <c r="B24" s="5">
        <v>45971</v>
      </c>
      <c r="C24" s="6">
        <v>1545</v>
      </c>
      <c r="D24" s="6">
        <v>19079</v>
      </c>
      <c r="E24" s="6">
        <v>0</v>
      </c>
      <c r="F24" s="6">
        <v>348881</v>
      </c>
      <c r="G24" s="6">
        <v>1894193</v>
      </c>
    </row>
    <row r="25" spans="1:7" x14ac:dyDescent="0.25">
      <c r="A25" s="7">
        <v>24</v>
      </c>
      <c r="B25" s="8">
        <v>45972</v>
      </c>
      <c r="C25" s="9">
        <v>1545</v>
      </c>
      <c r="D25" s="9">
        <v>19258</v>
      </c>
      <c r="E25" s="9">
        <v>0</v>
      </c>
      <c r="F25" s="9">
        <v>366594</v>
      </c>
      <c r="G25" s="9">
        <v>1911906</v>
      </c>
    </row>
    <row r="26" spans="1:7" x14ac:dyDescent="0.25">
      <c r="A26" s="4">
        <v>25</v>
      </c>
      <c r="B26" s="5">
        <v>45973</v>
      </c>
      <c r="C26" s="6">
        <v>1545</v>
      </c>
      <c r="D26" s="6">
        <v>19438</v>
      </c>
      <c r="E26" s="6">
        <v>0</v>
      </c>
      <c r="F26" s="6">
        <v>384486</v>
      </c>
      <c r="G26" s="6">
        <v>1929798</v>
      </c>
    </row>
    <row r="27" spans="1:7" x14ac:dyDescent="0.25">
      <c r="A27" s="7">
        <v>26</v>
      </c>
      <c r="B27" s="8">
        <v>46327</v>
      </c>
      <c r="C27" s="9">
        <v>1545</v>
      </c>
      <c r="D27" s="9">
        <v>19620</v>
      </c>
      <c r="E27" s="9">
        <v>0</v>
      </c>
      <c r="F27" s="9">
        <v>402561</v>
      </c>
      <c r="G27" s="9">
        <v>1947873</v>
      </c>
    </row>
    <row r="28" spans="1:7" x14ac:dyDescent="0.25">
      <c r="A28" s="4">
        <v>27</v>
      </c>
      <c r="B28" s="5">
        <v>46328</v>
      </c>
      <c r="C28" s="6">
        <v>1545</v>
      </c>
      <c r="D28" s="6">
        <v>19803</v>
      </c>
      <c r="E28" s="6">
        <v>0</v>
      </c>
      <c r="F28" s="6">
        <v>420819</v>
      </c>
      <c r="G28" s="6">
        <v>1966131</v>
      </c>
    </row>
    <row r="29" spans="1:7" x14ac:dyDescent="0.25">
      <c r="A29" s="7">
        <v>28</v>
      </c>
      <c r="B29" s="8">
        <v>46329</v>
      </c>
      <c r="C29" s="9">
        <v>1545</v>
      </c>
      <c r="D29" s="9">
        <v>19989</v>
      </c>
      <c r="E29" s="9">
        <v>0</v>
      </c>
      <c r="F29" s="9">
        <v>439263</v>
      </c>
      <c r="G29" s="9">
        <v>1984575</v>
      </c>
    </row>
    <row r="30" spans="1:7" x14ac:dyDescent="0.25">
      <c r="A30" s="4">
        <v>29</v>
      </c>
      <c r="B30" s="5">
        <v>46330</v>
      </c>
      <c r="C30" s="6">
        <v>1545</v>
      </c>
      <c r="D30" s="6">
        <v>20177</v>
      </c>
      <c r="E30" s="6">
        <v>0</v>
      </c>
      <c r="F30" s="6">
        <v>457895</v>
      </c>
      <c r="G30" s="6">
        <v>2003207</v>
      </c>
    </row>
    <row r="31" spans="1:7" x14ac:dyDescent="0.25">
      <c r="A31" s="7">
        <v>30</v>
      </c>
      <c r="B31" s="8">
        <v>46331</v>
      </c>
      <c r="C31" s="9">
        <v>1545</v>
      </c>
      <c r="D31" s="9">
        <v>20366</v>
      </c>
      <c r="E31" s="9">
        <v>0</v>
      </c>
      <c r="F31" s="9">
        <v>476716</v>
      </c>
      <c r="G31" s="9">
        <v>2022028</v>
      </c>
    </row>
    <row r="32" spans="1:7" x14ac:dyDescent="0.25">
      <c r="A32" s="4">
        <v>31</v>
      </c>
      <c r="B32" s="5">
        <v>46332</v>
      </c>
      <c r="C32" s="6">
        <v>1545</v>
      </c>
      <c r="D32" s="6">
        <v>20557</v>
      </c>
      <c r="E32" s="6">
        <v>0</v>
      </c>
      <c r="F32" s="6">
        <v>495728</v>
      </c>
      <c r="G32" s="6">
        <v>2041040</v>
      </c>
    </row>
    <row r="33" spans="1:7" x14ac:dyDescent="0.25">
      <c r="A33" s="7">
        <v>32</v>
      </c>
      <c r="B33" s="8">
        <v>46333</v>
      </c>
      <c r="C33" s="9">
        <v>1545</v>
      </c>
      <c r="D33" s="9">
        <v>20751</v>
      </c>
      <c r="E33" s="9">
        <v>0</v>
      </c>
      <c r="F33" s="9">
        <v>514934</v>
      </c>
      <c r="G33" s="9">
        <v>2060246</v>
      </c>
    </row>
    <row r="34" spans="1:7" x14ac:dyDescent="0.25">
      <c r="A34" s="4">
        <v>33</v>
      </c>
      <c r="B34" s="5">
        <v>46334</v>
      </c>
      <c r="C34" s="6">
        <v>1545</v>
      </c>
      <c r="D34" s="6">
        <v>20946</v>
      </c>
      <c r="E34" s="6">
        <v>0</v>
      </c>
      <c r="F34" s="6">
        <v>534334</v>
      </c>
      <c r="G34" s="6">
        <v>2079646</v>
      </c>
    </row>
    <row r="35" spans="1:7" x14ac:dyDescent="0.25">
      <c r="A35" s="7">
        <v>34</v>
      </c>
      <c r="B35" s="8">
        <v>46335</v>
      </c>
      <c r="C35" s="9">
        <v>1545</v>
      </c>
      <c r="D35" s="9">
        <v>21143</v>
      </c>
      <c r="E35" s="9">
        <v>0</v>
      </c>
      <c r="F35" s="9">
        <v>553933</v>
      </c>
      <c r="G35" s="9">
        <v>2099245</v>
      </c>
    </row>
    <row r="36" spans="1:7" x14ac:dyDescent="0.25">
      <c r="A36" s="4">
        <v>35</v>
      </c>
      <c r="B36" s="5">
        <v>46336</v>
      </c>
      <c r="C36" s="6">
        <v>1545</v>
      </c>
      <c r="D36" s="6">
        <v>21342</v>
      </c>
      <c r="E36" s="6">
        <v>0</v>
      </c>
      <c r="F36" s="6">
        <v>573730</v>
      </c>
      <c r="G36" s="6">
        <v>2119042</v>
      </c>
    </row>
    <row r="37" spans="1:7" x14ac:dyDescent="0.25">
      <c r="A37" s="7">
        <v>36</v>
      </c>
      <c r="B37" s="8">
        <v>46337</v>
      </c>
      <c r="C37" s="9">
        <v>1545</v>
      </c>
      <c r="D37" s="9">
        <v>21544</v>
      </c>
      <c r="E37" s="9">
        <v>0</v>
      </c>
      <c r="F37" s="9">
        <v>593728</v>
      </c>
      <c r="G37" s="9">
        <v>2139040</v>
      </c>
    </row>
    <row r="38" spans="1:7" x14ac:dyDescent="0.25">
      <c r="A38" s="4">
        <v>37</v>
      </c>
      <c r="B38" s="5">
        <v>46338</v>
      </c>
      <c r="C38" s="6">
        <v>1545</v>
      </c>
      <c r="D38" s="6">
        <v>21747</v>
      </c>
      <c r="E38" s="6">
        <v>0</v>
      </c>
      <c r="F38" s="6">
        <v>613930</v>
      </c>
      <c r="G38" s="6">
        <v>2159242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F57E66-C924-4147-A99A-0B0BD13EFD60}">
  <sheetPr codeName="Sheet2"/>
  <dimension ref="A1:G25"/>
  <sheetViews>
    <sheetView workbookViewId="0">
      <selection activeCell="B2" sqref="B2:B25"/>
    </sheetView>
    <sheetView workbookViewId="1"/>
  </sheetViews>
  <sheetFormatPr baseColWidth="10" defaultRowHeight="18" x14ac:dyDescent="0.25"/>
  <cols>
    <col min="2" max="2" width="12.7109375" customWidth="1"/>
    <col min="3" max="3" width="16.85546875" customWidth="1"/>
    <col min="4" max="4" width="11.5703125" customWidth="1"/>
    <col min="5" max="5" width="12.42578125" customWidth="1"/>
    <col min="6" max="6" width="20.28515625" customWidth="1"/>
    <col min="7" max="7" width="21.7109375" customWidth="1"/>
  </cols>
  <sheetData>
    <row r="1" spans="1:7" x14ac:dyDescent="0.25">
      <c r="A1" s="1" t="s">
        <v>0</v>
      </c>
      <c r="B1" s="2" t="s">
        <v>1</v>
      </c>
      <c r="C1" s="3" t="s">
        <v>2</v>
      </c>
      <c r="D1" s="3" t="s">
        <v>3</v>
      </c>
      <c r="E1" s="3" t="s">
        <v>4</v>
      </c>
      <c r="F1" s="3" t="s">
        <v>5</v>
      </c>
      <c r="G1" s="3" t="s">
        <v>6</v>
      </c>
    </row>
    <row r="2" spans="1:7" x14ac:dyDescent="0.25">
      <c r="A2" s="4">
        <v>1</v>
      </c>
      <c r="B2" s="5">
        <v>45962</v>
      </c>
      <c r="C2" s="6">
        <v>2000</v>
      </c>
      <c r="D2" s="6">
        <v>3935</v>
      </c>
      <c r="E2" s="6">
        <v>0</v>
      </c>
      <c r="F2" s="6">
        <v>1935</v>
      </c>
      <c r="G2" s="6">
        <v>2001935</v>
      </c>
    </row>
    <row r="3" spans="1:7" x14ac:dyDescent="0.25">
      <c r="A3" s="7">
        <v>2</v>
      </c>
      <c r="B3" s="8">
        <v>45963</v>
      </c>
      <c r="C3" s="9">
        <v>2000</v>
      </c>
      <c r="D3" s="9">
        <v>20353</v>
      </c>
      <c r="E3" s="9">
        <v>0</v>
      </c>
      <c r="F3" s="9">
        <v>20288</v>
      </c>
      <c r="G3" s="9">
        <v>2020288</v>
      </c>
    </row>
    <row r="4" spans="1:7" x14ac:dyDescent="0.25">
      <c r="A4" s="4">
        <v>3</v>
      </c>
      <c r="B4" s="5">
        <v>45964</v>
      </c>
      <c r="C4" s="6">
        <v>2000</v>
      </c>
      <c r="D4" s="6">
        <v>20540</v>
      </c>
      <c r="E4" s="6">
        <v>0</v>
      </c>
      <c r="F4" s="6">
        <v>38828</v>
      </c>
      <c r="G4" s="6">
        <v>2038828</v>
      </c>
    </row>
    <row r="5" spans="1:7" x14ac:dyDescent="0.25">
      <c r="A5" s="7">
        <v>4</v>
      </c>
      <c r="B5" s="8">
        <v>45965</v>
      </c>
      <c r="C5" s="9">
        <v>2000</v>
      </c>
      <c r="D5" s="9">
        <v>20728</v>
      </c>
      <c r="E5" s="9">
        <v>0</v>
      </c>
      <c r="F5" s="9">
        <v>57556</v>
      </c>
      <c r="G5" s="9">
        <v>2057556</v>
      </c>
    </row>
    <row r="6" spans="1:7" x14ac:dyDescent="0.25">
      <c r="A6" s="4">
        <v>5</v>
      </c>
      <c r="B6" s="5">
        <v>45966</v>
      </c>
      <c r="C6" s="6">
        <v>2000</v>
      </c>
      <c r="D6" s="6">
        <v>20918</v>
      </c>
      <c r="E6" s="6">
        <v>0</v>
      </c>
      <c r="F6" s="6">
        <v>76474</v>
      </c>
      <c r="G6" s="6">
        <v>2076474</v>
      </c>
    </row>
    <row r="7" spans="1:7" x14ac:dyDescent="0.25">
      <c r="A7" s="7">
        <v>6</v>
      </c>
      <c r="B7" s="8">
        <v>45967</v>
      </c>
      <c r="C7" s="9">
        <v>2000</v>
      </c>
      <c r="D7" s="9">
        <v>21111</v>
      </c>
      <c r="E7" s="9">
        <v>0</v>
      </c>
      <c r="F7" s="9">
        <v>95585</v>
      </c>
      <c r="G7" s="9">
        <v>2095585</v>
      </c>
    </row>
    <row r="8" spans="1:7" x14ac:dyDescent="0.25">
      <c r="A8" s="4">
        <v>7</v>
      </c>
      <c r="B8" s="5">
        <v>45968</v>
      </c>
      <c r="C8" s="6">
        <v>2000</v>
      </c>
      <c r="D8" s="6">
        <v>21305</v>
      </c>
      <c r="E8" s="6">
        <v>0</v>
      </c>
      <c r="F8" s="6">
        <v>114890</v>
      </c>
      <c r="G8" s="6">
        <v>2114890</v>
      </c>
    </row>
    <row r="9" spans="1:7" x14ac:dyDescent="0.25">
      <c r="A9" s="7">
        <v>8</v>
      </c>
      <c r="B9" s="8">
        <v>45969</v>
      </c>
      <c r="C9" s="9">
        <v>2000</v>
      </c>
      <c r="D9" s="9">
        <v>21501</v>
      </c>
      <c r="E9" s="9">
        <v>0</v>
      </c>
      <c r="F9" s="9">
        <v>134391</v>
      </c>
      <c r="G9" s="9">
        <v>2134391</v>
      </c>
    </row>
    <row r="10" spans="1:7" x14ac:dyDescent="0.25">
      <c r="A10" s="4">
        <v>9</v>
      </c>
      <c r="B10" s="5">
        <v>45970</v>
      </c>
      <c r="C10" s="6">
        <v>2000</v>
      </c>
      <c r="D10" s="6">
        <v>21700</v>
      </c>
      <c r="E10" s="6">
        <v>0</v>
      </c>
      <c r="F10" s="6">
        <v>154091</v>
      </c>
      <c r="G10" s="6">
        <v>2154091</v>
      </c>
    </row>
    <row r="11" spans="1:7" x14ac:dyDescent="0.25">
      <c r="A11" s="7">
        <v>10</v>
      </c>
      <c r="B11" s="8">
        <v>45971</v>
      </c>
      <c r="C11" s="9">
        <v>2000</v>
      </c>
      <c r="D11" s="9">
        <v>21900</v>
      </c>
      <c r="E11" s="9">
        <v>0</v>
      </c>
      <c r="F11" s="9">
        <v>173991</v>
      </c>
      <c r="G11" s="9">
        <v>2173991</v>
      </c>
    </row>
    <row r="12" spans="1:7" x14ac:dyDescent="0.25">
      <c r="A12" s="4">
        <v>11</v>
      </c>
      <c r="B12" s="5">
        <v>45972</v>
      </c>
      <c r="C12" s="6">
        <v>2000</v>
      </c>
      <c r="D12" s="6">
        <v>22102</v>
      </c>
      <c r="E12" s="6">
        <v>0</v>
      </c>
      <c r="F12" s="6">
        <v>194093</v>
      </c>
      <c r="G12" s="6">
        <v>2194093</v>
      </c>
    </row>
    <row r="13" spans="1:7" x14ac:dyDescent="0.25">
      <c r="A13" s="7">
        <v>12</v>
      </c>
      <c r="B13" s="8">
        <v>45973</v>
      </c>
      <c r="C13" s="9">
        <v>2000</v>
      </c>
      <c r="D13" s="9">
        <v>22307</v>
      </c>
      <c r="E13" s="9">
        <v>0</v>
      </c>
      <c r="F13" s="9">
        <v>214400</v>
      </c>
      <c r="G13" s="9">
        <v>2214400</v>
      </c>
    </row>
    <row r="14" spans="1:7" x14ac:dyDescent="0.25">
      <c r="A14" s="4">
        <v>13</v>
      </c>
      <c r="B14" s="5">
        <v>46327</v>
      </c>
      <c r="C14" s="6">
        <v>2000</v>
      </c>
      <c r="D14" s="6">
        <v>22513</v>
      </c>
      <c r="E14" s="6">
        <v>0</v>
      </c>
      <c r="F14" s="6">
        <v>234913</v>
      </c>
      <c r="G14" s="6">
        <v>2234913</v>
      </c>
    </row>
    <row r="15" spans="1:7" x14ac:dyDescent="0.25">
      <c r="A15" s="7">
        <v>14</v>
      </c>
      <c r="B15" s="8">
        <v>46328</v>
      </c>
      <c r="C15" s="9">
        <v>2000</v>
      </c>
      <c r="D15" s="9">
        <v>22722</v>
      </c>
      <c r="E15" s="9">
        <v>0</v>
      </c>
      <c r="F15" s="9">
        <v>255635</v>
      </c>
      <c r="G15" s="9">
        <v>2255635</v>
      </c>
    </row>
    <row r="16" spans="1:7" x14ac:dyDescent="0.25">
      <c r="A16" s="4">
        <v>15</v>
      </c>
      <c r="B16" s="5">
        <v>46329</v>
      </c>
      <c r="C16" s="6">
        <v>2000</v>
      </c>
      <c r="D16" s="6">
        <v>22932</v>
      </c>
      <c r="E16" s="6">
        <v>0</v>
      </c>
      <c r="F16" s="6">
        <v>276567</v>
      </c>
      <c r="G16" s="6">
        <v>2276567</v>
      </c>
    </row>
    <row r="17" spans="1:7" x14ac:dyDescent="0.25">
      <c r="A17" s="7">
        <v>16</v>
      </c>
      <c r="B17" s="8">
        <v>46330</v>
      </c>
      <c r="C17" s="9">
        <v>2000</v>
      </c>
      <c r="D17" s="9">
        <v>23145</v>
      </c>
      <c r="E17" s="9">
        <v>0</v>
      </c>
      <c r="F17" s="9">
        <v>297712</v>
      </c>
      <c r="G17" s="9">
        <v>2297712</v>
      </c>
    </row>
    <row r="18" spans="1:7" x14ac:dyDescent="0.25">
      <c r="A18" s="4">
        <v>17</v>
      </c>
      <c r="B18" s="5">
        <v>46331</v>
      </c>
      <c r="C18" s="6">
        <v>2000</v>
      </c>
      <c r="D18" s="6">
        <v>23360</v>
      </c>
      <c r="E18" s="6">
        <v>0</v>
      </c>
      <c r="F18" s="6">
        <v>319072</v>
      </c>
      <c r="G18" s="6">
        <v>2319072</v>
      </c>
    </row>
    <row r="19" spans="1:7" x14ac:dyDescent="0.25">
      <c r="A19" s="7">
        <v>18</v>
      </c>
      <c r="B19" s="8">
        <v>46332</v>
      </c>
      <c r="C19" s="9">
        <v>2000</v>
      </c>
      <c r="D19" s="9">
        <v>23577</v>
      </c>
      <c r="E19" s="9">
        <v>0</v>
      </c>
      <c r="F19" s="9">
        <v>340649</v>
      </c>
      <c r="G19" s="9">
        <v>2340649</v>
      </c>
    </row>
    <row r="20" spans="1:7" x14ac:dyDescent="0.25">
      <c r="A20" s="4">
        <v>19</v>
      </c>
      <c r="B20" s="5">
        <v>46333</v>
      </c>
      <c r="C20" s="6">
        <v>2000</v>
      </c>
      <c r="D20" s="6">
        <v>23797</v>
      </c>
      <c r="E20" s="6">
        <v>0</v>
      </c>
      <c r="F20" s="6">
        <v>362446</v>
      </c>
      <c r="G20" s="6">
        <v>2362446</v>
      </c>
    </row>
    <row r="21" spans="1:7" x14ac:dyDescent="0.25">
      <c r="A21" s="7">
        <v>20</v>
      </c>
      <c r="B21" s="8">
        <v>46334</v>
      </c>
      <c r="C21" s="9">
        <v>2000</v>
      </c>
      <c r="D21" s="9">
        <v>24018</v>
      </c>
      <c r="E21" s="9">
        <v>0</v>
      </c>
      <c r="F21" s="9">
        <v>384464</v>
      </c>
      <c r="G21" s="9">
        <v>2384464</v>
      </c>
    </row>
    <row r="22" spans="1:7" x14ac:dyDescent="0.25">
      <c r="A22" s="4">
        <v>21</v>
      </c>
      <c r="B22" s="5">
        <v>46335</v>
      </c>
      <c r="C22" s="6">
        <v>2000</v>
      </c>
      <c r="D22" s="6">
        <v>24242</v>
      </c>
      <c r="E22" s="6">
        <v>0</v>
      </c>
      <c r="F22" s="6">
        <v>406706</v>
      </c>
      <c r="G22" s="6">
        <v>2406706</v>
      </c>
    </row>
    <row r="23" spans="1:7" x14ac:dyDescent="0.25">
      <c r="A23" s="7">
        <v>22</v>
      </c>
      <c r="B23" s="8">
        <v>46336</v>
      </c>
      <c r="C23" s="9">
        <v>2000</v>
      </c>
      <c r="D23" s="9">
        <v>24468</v>
      </c>
      <c r="E23" s="9">
        <v>0</v>
      </c>
      <c r="F23" s="9">
        <v>429174</v>
      </c>
      <c r="G23" s="9">
        <v>2429174</v>
      </c>
    </row>
    <row r="24" spans="1:7" x14ac:dyDescent="0.25">
      <c r="A24" s="4">
        <v>23</v>
      </c>
      <c r="B24" s="5">
        <v>46337</v>
      </c>
      <c r="C24" s="6">
        <v>2000</v>
      </c>
      <c r="D24" s="6">
        <v>24697</v>
      </c>
      <c r="E24" s="6">
        <v>0</v>
      </c>
      <c r="F24" s="6">
        <v>451871</v>
      </c>
      <c r="G24" s="6">
        <v>2451871</v>
      </c>
    </row>
    <row r="25" spans="1:7" x14ac:dyDescent="0.25">
      <c r="A25" s="7">
        <v>24</v>
      </c>
      <c r="B25" s="8">
        <v>46338</v>
      </c>
      <c r="C25" s="9">
        <v>2000</v>
      </c>
      <c r="D25" s="9">
        <v>24927</v>
      </c>
      <c r="E25" s="9">
        <v>0</v>
      </c>
      <c r="F25" s="9">
        <v>474798</v>
      </c>
      <c r="G25" s="9">
        <v>2474798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C10392-B4E9-E941-AA83-1BBC1D15D83F}">
  <sheetPr codeName="Sheet3"/>
  <dimension ref="A1:S38"/>
  <sheetViews>
    <sheetView topLeftCell="K1" zoomScale="81" zoomScaleNormal="53" workbookViewId="0">
      <selection activeCell="Q2" sqref="Q2"/>
    </sheetView>
    <sheetView tabSelected="1" workbookViewId="1"/>
  </sheetViews>
  <sheetFormatPr baseColWidth="10" defaultRowHeight="18" x14ac:dyDescent="0.25"/>
  <cols>
    <col min="2" max="4" width="27.85546875" style="10" customWidth="1"/>
    <col min="5" max="5" width="32.42578125" style="10" customWidth="1"/>
    <col min="6" max="6" width="17.28515625" style="13" customWidth="1"/>
    <col min="7" max="7" width="12.28515625" style="13" customWidth="1"/>
    <col min="8" max="8" width="23.42578125" style="13" customWidth="1"/>
    <col min="9" max="9" width="21.42578125" style="13" customWidth="1"/>
    <col min="10" max="10" width="22.42578125" style="13" customWidth="1"/>
    <col min="11" max="11" width="29.85546875" style="13" customWidth="1"/>
    <col min="12" max="12" width="31.85546875" style="13" customWidth="1"/>
    <col min="13" max="13" width="30.42578125" style="13" customWidth="1"/>
    <col min="14" max="14" width="10.7109375" style="22"/>
    <col min="15" max="15" width="10.7109375" style="24"/>
    <col min="16" max="17" width="10.7109375" style="14"/>
    <col min="18" max="18" width="37.140625" customWidth="1"/>
    <col min="19" max="19" width="13.5703125" style="14" customWidth="1"/>
  </cols>
  <sheetData>
    <row r="1" spans="1:19" x14ac:dyDescent="0.25">
      <c r="A1" s="11" t="s">
        <v>0</v>
      </c>
      <c r="B1" s="2" t="s">
        <v>1</v>
      </c>
      <c r="C1" s="2" t="s">
        <v>13</v>
      </c>
      <c r="D1" s="2" t="s">
        <v>15</v>
      </c>
      <c r="E1" s="2" t="s">
        <v>16</v>
      </c>
      <c r="F1" s="3" t="s">
        <v>2</v>
      </c>
      <c r="G1" s="3" t="s">
        <v>3</v>
      </c>
      <c r="H1" s="3" t="s">
        <v>9</v>
      </c>
      <c r="I1" s="3" t="s">
        <v>5</v>
      </c>
      <c r="J1" s="3" t="s">
        <v>6</v>
      </c>
      <c r="K1" s="3" t="s">
        <v>17</v>
      </c>
      <c r="L1" s="3" t="s">
        <v>8</v>
      </c>
      <c r="M1" s="12" t="s">
        <v>7</v>
      </c>
      <c r="N1" s="21" t="s">
        <v>21</v>
      </c>
      <c r="O1" s="23" t="s">
        <v>22</v>
      </c>
      <c r="P1" s="26" t="s">
        <v>23</v>
      </c>
      <c r="Q1" s="26" t="s">
        <v>48</v>
      </c>
      <c r="R1" s="27" t="s">
        <v>24</v>
      </c>
      <c r="S1" s="26" t="s">
        <v>45</v>
      </c>
    </row>
    <row r="2" spans="1:19" x14ac:dyDescent="0.25">
      <c r="A2">
        <v>1</v>
      </c>
      <c r="B2" s="10">
        <v>45242</v>
      </c>
      <c r="C2" s="10">
        <f t="shared" ref="C2:C38" si="0">DATE(YEAR(B2), DAY(B2), MONTH(B2))</f>
        <v>45271</v>
      </c>
      <c r="D2" t="str">
        <f>TEXT(Combine_35Lakhs!$C2, "mmmm")</f>
        <v>December</v>
      </c>
      <c r="E2">
        <f t="shared" ref="E2:E38" si="1">YEAR(C2)</f>
        <v>2023</v>
      </c>
      <c r="F2" s="13">
        <v>1545</v>
      </c>
      <c r="G2" s="13">
        <v>5369</v>
      </c>
      <c r="H2" s="13">
        <v>0</v>
      </c>
      <c r="I2" s="13">
        <v>3824</v>
      </c>
      <c r="J2" s="13">
        <v>1549136</v>
      </c>
      <c r="K2" s="13">
        <v>1545312</v>
      </c>
      <c r="L2" s="13">
        <f>SUM($G$2:G2)</f>
        <v>5369</v>
      </c>
      <c r="M2" s="13">
        <f>SUM($F$2:F2)</f>
        <v>1545</v>
      </c>
      <c r="N2" s="20">
        <v>0.12</v>
      </c>
      <c r="O2" s="24">
        <f t="shared" ref="O2:O38" si="2">N2/12</f>
        <v>0.01</v>
      </c>
      <c r="P2" s="14">
        <v>4000</v>
      </c>
      <c r="Q2" s="14">
        <f t="shared" ref="Q2:Q38" si="3">P2*20</f>
        <v>80000</v>
      </c>
      <c r="R2">
        <f>IFERROR(NPER(Table6[[#This Row],[Monthly intrest rate]],-Table6[[#This Row],[payment]],Table6[[#This Row],[Total Outstanding]]),"amount is too small")</f>
        <v>21.630181903571959</v>
      </c>
      <c r="S2" s="14">
        <v>1545312</v>
      </c>
    </row>
    <row r="3" spans="1:19" x14ac:dyDescent="0.25">
      <c r="A3">
        <v>2</v>
      </c>
      <c r="B3" s="10">
        <v>45597</v>
      </c>
      <c r="C3" s="10">
        <f t="shared" si="0"/>
        <v>45302</v>
      </c>
      <c r="D3" t="str">
        <f>TEXT(Combine_35Lakhs!$C3, "mmmm")</f>
        <v>January</v>
      </c>
      <c r="E3">
        <f t="shared" si="1"/>
        <v>2024</v>
      </c>
      <c r="F3" s="13">
        <v>1545</v>
      </c>
      <c r="G3" s="13">
        <v>15491</v>
      </c>
      <c r="H3" s="13">
        <v>0</v>
      </c>
      <c r="I3" s="13">
        <v>17770.36</v>
      </c>
      <c r="J3" s="13">
        <v>1563082</v>
      </c>
      <c r="K3" s="13">
        <v>1545312</v>
      </c>
      <c r="L3" s="13">
        <f>SUM($G$2:G3)</f>
        <v>20860</v>
      </c>
      <c r="M3" s="13">
        <f>SUM($F$2:F3)</f>
        <v>3090</v>
      </c>
      <c r="N3" s="20">
        <v>0.12</v>
      </c>
      <c r="O3" s="24">
        <f t="shared" si="2"/>
        <v>0.01</v>
      </c>
      <c r="P3" s="14">
        <f>$P$2</f>
        <v>4000</v>
      </c>
      <c r="Q3" s="14">
        <f t="shared" si="3"/>
        <v>80000</v>
      </c>
      <c r="R3">
        <f>IFERROR(NPER(Table6[[#This Row],[Monthly intrest rate]],-Table6[[#This Row],[payment]],Table6[[#This Row],[Total Outstanding]]),"amount is too small")</f>
        <v>21.847684338534808</v>
      </c>
      <c r="S3" s="14">
        <v>0</v>
      </c>
    </row>
    <row r="4" spans="1:19" x14ac:dyDescent="0.25">
      <c r="A4">
        <v>3</v>
      </c>
      <c r="B4" s="10">
        <v>45598</v>
      </c>
      <c r="C4" s="10">
        <f t="shared" si="0"/>
        <v>45333</v>
      </c>
      <c r="D4" t="str">
        <f>TEXT(Combine_35Lakhs!$C4, "mmmm")</f>
        <v>February</v>
      </c>
      <c r="E4">
        <f t="shared" si="1"/>
        <v>2024</v>
      </c>
      <c r="F4" s="13">
        <v>1545</v>
      </c>
      <c r="G4" s="13">
        <v>15631</v>
      </c>
      <c r="H4" s="13">
        <v>0</v>
      </c>
      <c r="I4" s="13">
        <v>31856.1836</v>
      </c>
      <c r="J4" s="13">
        <v>1577168</v>
      </c>
      <c r="K4" s="13">
        <v>1545312</v>
      </c>
      <c r="L4" s="13">
        <f>SUM($G$2:G4)</f>
        <v>36491</v>
      </c>
      <c r="M4" s="13">
        <f>SUM($F$2:F4)</f>
        <v>4635</v>
      </c>
      <c r="N4" s="20">
        <v>0.12</v>
      </c>
      <c r="O4" s="24">
        <f t="shared" si="2"/>
        <v>0.01</v>
      </c>
      <c r="P4" s="14">
        <f t="shared" ref="P4:P38" si="4">$P$2</f>
        <v>4000</v>
      </c>
      <c r="Q4" s="14">
        <f t="shared" si="3"/>
        <v>80000</v>
      </c>
      <c r="R4">
        <f>IFERROR(NPER(Table6[[#This Row],[Monthly intrest rate]],-Table6[[#This Row],[payment]],Table6[[#This Row],[Total Outstanding]]),"amount is too small")</f>
        <v>22.067849098526196</v>
      </c>
      <c r="S4" s="14">
        <v>0</v>
      </c>
    </row>
    <row r="5" spans="1:19" x14ac:dyDescent="0.25">
      <c r="A5">
        <v>4</v>
      </c>
      <c r="B5" s="10">
        <v>45599</v>
      </c>
      <c r="C5" s="10">
        <f t="shared" si="0"/>
        <v>45362</v>
      </c>
      <c r="D5" t="str">
        <f>TEXT(Combine_35Lakhs!$C5, "mmmm")</f>
        <v>March</v>
      </c>
      <c r="E5">
        <f t="shared" si="1"/>
        <v>2024</v>
      </c>
      <c r="F5" s="13">
        <v>1545</v>
      </c>
      <c r="G5" s="13">
        <v>15772</v>
      </c>
      <c r="H5" s="13">
        <v>0</v>
      </c>
      <c r="I5" s="13">
        <v>46082.865436</v>
      </c>
      <c r="J5" s="13">
        <v>1591395</v>
      </c>
      <c r="K5" s="13">
        <v>1545312</v>
      </c>
      <c r="L5" s="13">
        <f>SUM($G$2:G5)</f>
        <v>52263</v>
      </c>
      <c r="M5" s="13">
        <f>SUM($F$2:F5)</f>
        <v>6180</v>
      </c>
      <c r="N5" s="20">
        <v>0.12</v>
      </c>
      <c r="O5" s="24">
        <f t="shared" si="2"/>
        <v>0.01</v>
      </c>
      <c r="P5" s="14">
        <f t="shared" si="4"/>
        <v>4000</v>
      </c>
      <c r="Q5" s="14">
        <f t="shared" si="3"/>
        <v>80000</v>
      </c>
      <c r="R5">
        <f>IFERROR(NPER(Table6[[#This Row],[Monthly intrest rate]],-Table6[[#This Row],[payment]],Table6[[#This Row],[Total Outstanding]]),"amount is too small")</f>
        <v>22.290708360350582</v>
      </c>
      <c r="S5" s="14">
        <v>0</v>
      </c>
    </row>
    <row r="6" spans="1:19" x14ac:dyDescent="0.25">
      <c r="A6">
        <v>5</v>
      </c>
      <c r="B6" s="10">
        <v>45600</v>
      </c>
      <c r="C6" s="10">
        <f t="shared" si="0"/>
        <v>45393</v>
      </c>
      <c r="D6" t="str">
        <f>TEXT(Combine_35Lakhs!$C6, "mmmm")</f>
        <v>April</v>
      </c>
      <c r="E6">
        <f t="shared" si="1"/>
        <v>2024</v>
      </c>
      <c r="F6" s="13">
        <v>1545</v>
      </c>
      <c r="G6" s="13">
        <v>15914</v>
      </c>
      <c r="H6" s="13">
        <v>0</v>
      </c>
      <c r="I6" s="13">
        <v>60451.81409036</v>
      </c>
      <c r="J6" s="13">
        <v>1605764</v>
      </c>
      <c r="K6" s="13">
        <v>1545312</v>
      </c>
      <c r="L6" s="13">
        <f>SUM($G$2:G6)</f>
        <v>68177</v>
      </c>
      <c r="M6" s="13">
        <f>SUM($F$2:F6)</f>
        <v>7725</v>
      </c>
      <c r="N6" s="20">
        <v>0.12</v>
      </c>
      <c r="O6" s="24">
        <f t="shared" si="2"/>
        <v>0.01</v>
      </c>
      <c r="P6" s="14">
        <f t="shared" si="4"/>
        <v>4000</v>
      </c>
      <c r="Q6" s="14">
        <f t="shared" si="3"/>
        <v>80000</v>
      </c>
      <c r="R6">
        <f>IFERROR(NPER(Table6[[#This Row],[Monthly intrest rate]],-Table6[[#This Row],[payment]],Table6[[#This Row],[Total Outstanding]]),"amount is too small")</f>
        <v>22.516294726947947</v>
      </c>
      <c r="S6" s="14">
        <v>0</v>
      </c>
    </row>
    <row r="7" spans="1:19" x14ac:dyDescent="0.25">
      <c r="A7">
        <v>6</v>
      </c>
      <c r="B7" s="10">
        <v>45601</v>
      </c>
      <c r="C7" s="10">
        <f t="shared" si="0"/>
        <v>45423</v>
      </c>
      <c r="D7" t="str">
        <f>TEXT(Combine_35Lakhs!$C7, "mmmm")</f>
        <v>May</v>
      </c>
      <c r="E7">
        <f t="shared" si="1"/>
        <v>2024</v>
      </c>
      <c r="F7" s="13">
        <v>1545</v>
      </c>
      <c r="G7" s="13">
        <v>16058</v>
      </c>
      <c r="H7" s="13">
        <v>0</v>
      </c>
      <c r="I7" s="13">
        <v>74964.452231263596</v>
      </c>
      <c r="J7" s="13">
        <v>1620276</v>
      </c>
      <c r="K7" s="13">
        <v>1545312</v>
      </c>
      <c r="L7" s="13">
        <f>SUM($G$2:G7)</f>
        <v>84235</v>
      </c>
      <c r="M7" s="13">
        <f>SUM($F$2:F7)</f>
        <v>9270</v>
      </c>
      <c r="N7" s="20">
        <v>0.12</v>
      </c>
      <c r="O7" s="24">
        <f t="shared" si="2"/>
        <v>0.01</v>
      </c>
      <c r="P7" s="14">
        <f t="shared" si="4"/>
        <v>4000</v>
      </c>
      <c r="Q7" s="14">
        <f t="shared" si="3"/>
        <v>80000</v>
      </c>
      <c r="R7">
        <f>IFERROR(NPER(Table6[[#This Row],[Monthly intrest rate]],-Table6[[#This Row],[payment]],Table6[[#This Row],[Total Outstanding]]),"amount is too small")</f>
        <v>22.744641237222485</v>
      </c>
      <c r="S7" s="14">
        <v>0</v>
      </c>
    </row>
    <row r="8" spans="1:19" x14ac:dyDescent="0.25">
      <c r="A8">
        <v>7</v>
      </c>
      <c r="B8" s="5">
        <v>45602</v>
      </c>
      <c r="C8" s="10">
        <f t="shared" si="0"/>
        <v>45454</v>
      </c>
      <c r="D8" t="str">
        <f>TEXT(Combine_35Lakhs!$C8, "mmmm")</f>
        <v>June</v>
      </c>
      <c r="E8">
        <f t="shared" si="1"/>
        <v>2024</v>
      </c>
      <c r="F8" s="13">
        <v>1545</v>
      </c>
      <c r="G8" s="13">
        <v>16203</v>
      </c>
      <c r="H8" s="13">
        <v>0</v>
      </c>
      <c r="I8" s="13">
        <v>89622.216753576198</v>
      </c>
      <c r="J8" s="13">
        <v>1634934</v>
      </c>
      <c r="K8" s="13">
        <v>1545312</v>
      </c>
      <c r="L8" s="13">
        <f>SUM($G$2:G8)</f>
        <v>100438</v>
      </c>
      <c r="M8" s="13">
        <f>SUM($F$2:F8)</f>
        <v>10815</v>
      </c>
      <c r="N8" s="20">
        <v>0.12</v>
      </c>
      <c r="O8" s="24">
        <f t="shared" si="2"/>
        <v>0.01</v>
      </c>
      <c r="P8" s="14">
        <f t="shared" si="4"/>
        <v>4000</v>
      </c>
      <c r="Q8" s="14">
        <f t="shared" si="3"/>
        <v>80000</v>
      </c>
      <c r="R8">
        <f>IFERROR(NPER(Table6[[#This Row],[Monthly intrest rate]],-Table6[[#This Row],[payment]],Table6[[#This Row],[Total Outstanding]]),"amount is too small")</f>
        <v>22.975812954484596</v>
      </c>
      <c r="S8" s="14">
        <v>0</v>
      </c>
    </row>
    <row r="9" spans="1:19" x14ac:dyDescent="0.25">
      <c r="A9">
        <v>8</v>
      </c>
      <c r="B9" s="10">
        <v>45603</v>
      </c>
      <c r="C9" s="10">
        <f t="shared" si="0"/>
        <v>45484</v>
      </c>
      <c r="D9" t="str">
        <f>TEXT(Combine_35Lakhs!$C9, "mmmm")</f>
        <v>July</v>
      </c>
      <c r="E9">
        <f t="shared" si="1"/>
        <v>2024</v>
      </c>
      <c r="F9" s="13">
        <v>1545</v>
      </c>
      <c r="G9" s="13">
        <v>16349</v>
      </c>
      <c r="H9" s="13">
        <v>0</v>
      </c>
      <c r="I9" s="13">
        <v>104426.558921112</v>
      </c>
      <c r="J9" s="13">
        <v>1649739</v>
      </c>
      <c r="K9" s="13">
        <v>1545312</v>
      </c>
      <c r="L9" s="13">
        <f>SUM($G$2:G9)</f>
        <v>116787</v>
      </c>
      <c r="M9" s="13">
        <f>SUM($F$2:F9)</f>
        <v>12360</v>
      </c>
      <c r="N9" s="20">
        <v>0.12</v>
      </c>
      <c r="O9" s="24">
        <f t="shared" si="2"/>
        <v>0.01</v>
      </c>
      <c r="P9" s="14">
        <f t="shared" si="4"/>
        <v>4000</v>
      </c>
      <c r="Q9" s="14">
        <f t="shared" si="3"/>
        <v>80000</v>
      </c>
      <c r="R9">
        <f>IFERROR(NPER(Table6[[#This Row],[Monthly intrest rate]],-Table6[[#This Row],[payment]],Table6[[#This Row],[Total Outstanding]]),"amount is too small")</f>
        <v>23.209844040932456</v>
      </c>
      <c r="S9" s="14">
        <v>0</v>
      </c>
    </row>
    <row r="10" spans="1:19" x14ac:dyDescent="0.25">
      <c r="A10">
        <v>9</v>
      </c>
      <c r="B10" s="10">
        <v>45604</v>
      </c>
      <c r="C10" s="10">
        <f t="shared" si="0"/>
        <v>45515</v>
      </c>
      <c r="D10" t="str">
        <f>TEXT(Combine_35Lakhs!$C10, "mmmm")</f>
        <v>August</v>
      </c>
      <c r="E10">
        <f t="shared" si="1"/>
        <v>2024</v>
      </c>
      <c r="F10" s="13">
        <v>1545</v>
      </c>
      <c r="G10" s="13">
        <v>16497</v>
      </c>
      <c r="H10" s="13">
        <v>0</v>
      </c>
      <c r="I10" s="13">
        <v>119378.944510323</v>
      </c>
      <c r="J10" s="13">
        <v>1664691</v>
      </c>
      <c r="K10" s="13">
        <v>1545312</v>
      </c>
      <c r="L10" s="13">
        <f>SUM($G$2:G10)</f>
        <v>133284</v>
      </c>
      <c r="M10" s="13">
        <f>SUM($F$2:F10)</f>
        <v>13905</v>
      </c>
      <c r="N10" s="20">
        <v>0.12</v>
      </c>
      <c r="O10" s="24">
        <f t="shared" si="2"/>
        <v>0.01</v>
      </c>
      <c r="P10" s="14">
        <f t="shared" si="4"/>
        <v>4000</v>
      </c>
      <c r="Q10" s="14">
        <f t="shared" si="3"/>
        <v>80000</v>
      </c>
      <c r="R10">
        <f>IFERROR(NPER(Table6[[#This Row],[Monthly intrest rate]],-Table6[[#This Row],[payment]],Table6[[#This Row],[Total Outstanding]]),"amount is too small")</f>
        <v>23.446753268939464</v>
      </c>
      <c r="S10" s="14">
        <v>0</v>
      </c>
    </row>
    <row r="11" spans="1:19" x14ac:dyDescent="0.25">
      <c r="A11">
        <v>10</v>
      </c>
      <c r="B11" s="10">
        <v>45605</v>
      </c>
      <c r="C11" s="10">
        <f t="shared" si="0"/>
        <v>45546</v>
      </c>
      <c r="D11" t="str">
        <f>TEXT(Combine_35Lakhs!$C11, "mmmm")</f>
        <v>September</v>
      </c>
      <c r="E11">
        <f t="shared" si="1"/>
        <v>2024</v>
      </c>
      <c r="F11" s="13">
        <v>1545</v>
      </c>
      <c r="G11" s="13">
        <v>16647</v>
      </c>
      <c r="H11" s="13">
        <v>0</v>
      </c>
      <c r="I11" s="13">
        <v>134480.85395542599</v>
      </c>
      <c r="J11" s="13">
        <v>1679793</v>
      </c>
      <c r="K11" s="13">
        <v>1545312</v>
      </c>
      <c r="L11" s="13">
        <f>SUM($G$2:G11)</f>
        <v>149931</v>
      </c>
      <c r="M11" s="13">
        <f>SUM($F$2:F11)</f>
        <v>15450</v>
      </c>
      <c r="N11" s="20">
        <v>0.12</v>
      </c>
      <c r="O11" s="24">
        <f t="shared" si="2"/>
        <v>0.01</v>
      </c>
      <c r="P11" s="14">
        <f t="shared" si="4"/>
        <v>4000</v>
      </c>
      <c r="Q11" s="14">
        <f t="shared" si="3"/>
        <v>80000</v>
      </c>
      <c r="R11">
        <f>IFERROR(NPER(Table6[[#This Row],[Monthly intrest rate]],-Table6[[#This Row],[payment]],Table6[[#This Row],[Total Outstanding]]),"amount is too small")</f>
        <v>23.686607447615152</v>
      </c>
      <c r="S11" s="14">
        <v>0</v>
      </c>
    </row>
    <row r="12" spans="1:19" x14ac:dyDescent="0.25">
      <c r="A12">
        <v>11</v>
      </c>
      <c r="B12" s="10">
        <v>45606</v>
      </c>
      <c r="C12" s="10">
        <f t="shared" si="0"/>
        <v>45576</v>
      </c>
      <c r="D12" t="str">
        <f>TEXT(Combine_35Lakhs!$C12, "mmmm")</f>
        <v>October</v>
      </c>
      <c r="E12">
        <f t="shared" si="1"/>
        <v>2024</v>
      </c>
      <c r="F12" s="13">
        <v>1545</v>
      </c>
      <c r="G12" s="13">
        <v>16798</v>
      </c>
      <c r="H12" s="13">
        <v>0</v>
      </c>
      <c r="I12" s="13">
        <v>149733.78249498099</v>
      </c>
      <c r="J12" s="13">
        <v>1695046</v>
      </c>
      <c r="K12" s="13">
        <v>1545312</v>
      </c>
      <c r="L12" s="13">
        <f>SUM($G$2:G12)</f>
        <v>166729</v>
      </c>
      <c r="M12" s="13">
        <f>SUM($F$2:F12)</f>
        <v>16995</v>
      </c>
      <c r="N12" s="20">
        <v>0.12</v>
      </c>
      <c r="O12" s="24">
        <f t="shared" si="2"/>
        <v>0.01</v>
      </c>
      <c r="P12" s="14">
        <f t="shared" si="4"/>
        <v>4000</v>
      </c>
      <c r="Q12" s="14">
        <f t="shared" si="3"/>
        <v>80000</v>
      </c>
      <c r="R12">
        <f>IFERROR(NPER(Table6[[#This Row],[Monthly intrest rate]],-Table6[[#This Row],[payment]],Table6[[#This Row],[Total Outstanding]]),"amount is too small")</f>
        <v>23.929442307010657</v>
      </c>
      <c r="S12" s="14">
        <v>0</v>
      </c>
    </row>
    <row r="13" spans="1:19" x14ac:dyDescent="0.25">
      <c r="A13">
        <v>12</v>
      </c>
      <c r="B13" s="10">
        <v>45607</v>
      </c>
      <c r="C13" s="10">
        <f t="shared" si="0"/>
        <v>45607</v>
      </c>
      <c r="D13" t="str">
        <f>TEXT(Combine_35Lakhs!$C13, "mmmm")</f>
        <v>November</v>
      </c>
      <c r="E13">
        <f t="shared" si="1"/>
        <v>2024</v>
      </c>
      <c r="F13" s="13">
        <v>1545</v>
      </c>
      <c r="G13" s="13">
        <v>17233</v>
      </c>
      <c r="H13" s="13">
        <v>0</v>
      </c>
      <c r="I13" s="13">
        <v>165422</v>
      </c>
      <c r="J13" s="13">
        <v>1710734</v>
      </c>
      <c r="K13" s="13">
        <v>1545312</v>
      </c>
      <c r="L13" s="13">
        <f>SUM($G$2:G13)</f>
        <v>183962</v>
      </c>
      <c r="M13" s="13">
        <f>SUM($F$2:F13)</f>
        <v>18540</v>
      </c>
      <c r="N13" s="20">
        <v>0.122</v>
      </c>
      <c r="O13" s="24">
        <f t="shared" si="2"/>
        <v>1.0166666666666666E-2</v>
      </c>
      <c r="P13" s="14">
        <f t="shared" si="4"/>
        <v>4000</v>
      </c>
      <c r="Q13" s="14">
        <f t="shared" si="3"/>
        <v>80000</v>
      </c>
      <c r="R13">
        <f>IFERROR(NPER(Table6[[#This Row],[Monthly intrest rate]],-Table6[[#This Row],[payment]],Table6[[#This Row],[Total Outstanding]]),"amount is too small")</f>
        <v>24.234588801554942</v>
      </c>
      <c r="S13" s="14">
        <v>0</v>
      </c>
    </row>
    <row r="14" spans="1:19" x14ac:dyDescent="0.25">
      <c r="A14">
        <v>13</v>
      </c>
      <c r="B14" s="10">
        <v>45608</v>
      </c>
      <c r="C14" s="10">
        <f t="shared" si="0"/>
        <v>45637</v>
      </c>
      <c r="D14" t="str">
        <f>TEXT(Combine_35Lakhs!$C14, "mmmm")</f>
        <v>December</v>
      </c>
      <c r="E14">
        <f t="shared" si="1"/>
        <v>2024</v>
      </c>
      <c r="F14" s="13">
        <v>1545</v>
      </c>
      <c r="G14" s="13">
        <v>17392</v>
      </c>
      <c r="H14" s="13">
        <v>0</v>
      </c>
      <c r="I14" s="13">
        <v>181269</v>
      </c>
      <c r="J14" s="13">
        <v>1726581</v>
      </c>
      <c r="K14" s="13">
        <v>1545312</v>
      </c>
      <c r="L14" s="13">
        <f>SUM($G$2:G14)</f>
        <v>201354</v>
      </c>
      <c r="M14" s="13">
        <f>SUM($F$2:F14)</f>
        <v>20085</v>
      </c>
      <c r="N14" s="20">
        <v>0.122</v>
      </c>
      <c r="O14" s="24">
        <f t="shared" si="2"/>
        <v>1.0166666666666666E-2</v>
      </c>
      <c r="P14" s="14">
        <f t="shared" si="4"/>
        <v>4000</v>
      </c>
      <c r="Q14" s="14">
        <f t="shared" si="3"/>
        <v>80000</v>
      </c>
      <c r="R14">
        <f>IFERROR(NPER(Table6[[#This Row],[Monthly intrest rate]],-Table6[[#This Row],[payment]],Table6[[#This Row],[Total Outstanding]]),"amount is too small")</f>
        <v>24.489317689104656</v>
      </c>
      <c r="S14" s="14">
        <v>0</v>
      </c>
    </row>
    <row r="15" spans="1:19" x14ac:dyDescent="0.25">
      <c r="A15">
        <v>14</v>
      </c>
      <c r="B15" s="10">
        <v>45962</v>
      </c>
      <c r="C15" s="10">
        <f t="shared" si="0"/>
        <v>45668</v>
      </c>
      <c r="D15" t="str">
        <f>TEXT(Combine_35Lakhs!$C15, "mmmm")</f>
        <v>January</v>
      </c>
      <c r="E15">
        <f t="shared" si="1"/>
        <v>2025</v>
      </c>
      <c r="F15" s="13">
        <f>SUM(Table1[[#This Row],[Payment Due]],'20Lakhs_Loan'!C2)</f>
        <v>3545</v>
      </c>
      <c r="G15" s="13">
        <f>SUM(Table1[[#This Row],[Interest]],'20Lakhs_Loan'!D2)</f>
        <v>21489</v>
      </c>
      <c r="H15" s="13">
        <f>SUM(Table1[[#This Row],[Principal]],'20Lakhs_Loan'!E2)</f>
        <v>0</v>
      </c>
      <c r="I15" s="13">
        <f>SUM(Table1[[#This Row],[Interest Accrued]],'20Lakhs_Loan'!F2)</f>
        <v>199213</v>
      </c>
      <c r="J15" s="13">
        <f>SUM(Table1[[#This Row],[Total Outstanding]],'20Lakhs_Loan'!G2)</f>
        <v>3744525</v>
      </c>
      <c r="K15" s="13">
        <v>3545312</v>
      </c>
      <c r="L15" s="13">
        <f>SUM($G$2:G15)</f>
        <v>222843</v>
      </c>
      <c r="M15" s="13">
        <f>SUM($F$2:F15)</f>
        <v>23630</v>
      </c>
      <c r="N15" s="20">
        <v>0.122</v>
      </c>
      <c r="O15" s="24">
        <f t="shared" si="2"/>
        <v>1.0166666666666666E-2</v>
      </c>
      <c r="P15" s="14">
        <f t="shared" si="4"/>
        <v>4000</v>
      </c>
      <c r="Q15" s="14">
        <f t="shared" si="3"/>
        <v>80000</v>
      </c>
      <c r="R15">
        <f>IFERROR(NPER(Table6[[#This Row],[Monthly intrest rate]],-Table6[[#This Row],[payment]],Table6[[#This Row],[Total Outstanding]]),"amount is too small")</f>
        <v>63.864355839151365</v>
      </c>
      <c r="S15" s="14">
        <v>2000000</v>
      </c>
    </row>
    <row r="16" spans="1:19" x14ac:dyDescent="0.25">
      <c r="A16">
        <v>15</v>
      </c>
      <c r="B16" s="10">
        <v>45963</v>
      </c>
      <c r="C16" s="10">
        <f t="shared" si="0"/>
        <v>45699</v>
      </c>
      <c r="D16" t="str">
        <f>TEXT(Combine_35Lakhs!$C16, "mmmm")</f>
        <v>February</v>
      </c>
      <c r="E16">
        <f t="shared" si="1"/>
        <v>2025</v>
      </c>
      <c r="F16" s="13">
        <f>SUM(Table1[[#This Row],[Payment Due]],'20Lakhs_Loan'!C3)</f>
        <v>3545</v>
      </c>
      <c r="G16" s="13">
        <f>SUM(Table1[[#This Row],[Interest]],'20Lakhs_Loan'!D3)</f>
        <v>38069</v>
      </c>
      <c r="H16" s="13">
        <f>SUM(Table1[[#This Row],[Principal]],'20Lakhs_Loan'!E3)</f>
        <v>0</v>
      </c>
      <c r="I16" s="13">
        <f>SUM(Table1[[#This Row],[Interest Accrued]],'20Lakhs_Loan'!F3)</f>
        <v>233737</v>
      </c>
      <c r="J16" s="13">
        <f>SUM(Table1[[#This Row],[Total Outstanding]],'20Lakhs_Loan'!G3)</f>
        <v>3779049</v>
      </c>
      <c r="K16" s="13">
        <v>3545312</v>
      </c>
      <c r="L16" s="13">
        <f>SUM($G$2:G16)</f>
        <v>260912</v>
      </c>
      <c r="M16" s="13">
        <f>SUM($F$2:F16)</f>
        <v>27175</v>
      </c>
      <c r="N16" s="20">
        <v>0.122</v>
      </c>
      <c r="O16" s="24">
        <f t="shared" si="2"/>
        <v>1.0166666666666666E-2</v>
      </c>
      <c r="P16" s="14">
        <f t="shared" si="4"/>
        <v>4000</v>
      </c>
      <c r="Q16" s="14">
        <f t="shared" si="3"/>
        <v>80000</v>
      </c>
      <c r="R16">
        <f>IFERROR(NPER(Table6[[#This Row],[Monthly intrest rate]],-Table6[[#This Row],[payment]],Table6[[#This Row],[Total Outstanding]]),"amount is too small")</f>
        <v>64.695376505497137</v>
      </c>
      <c r="S16" s="14">
        <v>0</v>
      </c>
    </row>
    <row r="17" spans="1:19" x14ac:dyDescent="0.25">
      <c r="A17">
        <v>16</v>
      </c>
      <c r="B17" s="10">
        <v>45964</v>
      </c>
      <c r="C17" s="10">
        <f t="shared" si="0"/>
        <v>45727</v>
      </c>
      <c r="D17" t="str">
        <f>TEXT(Combine_35Lakhs!$C17, "mmmm")</f>
        <v>March</v>
      </c>
      <c r="E17">
        <f t="shared" si="1"/>
        <v>2025</v>
      </c>
      <c r="F17" s="13">
        <f>SUM(Table1[[#This Row],[Payment Due]],'20Lakhs_Loan'!C4)</f>
        <v>3545</v>
      </c>
      <c r="G17" s="13">
        <f>SUM(Table1[[#This Row],[Interest]],'20Lakhs_Loan'!D4)</f>
        <v>38421</v>
      </c>
      <c r="H17" s="13">
        <f>SUM(Table1[[#This Row],[Principal]],'20Lakhs_Loan'!E4)</f>
        <v>0</v>
      </c>
      <c r="I17" s="13">
        <f>SUM(Table1[[#This Row],[Interest Accrued]],'20Lakhs_Loan'!F4)</f>
        <v>268613</v>
      </c>
      <c r="J17" s="13">
        <f>SUM(Table1[[#This Row],[Total Outstanding]],'20Lakhs_Loan'!G4)</f>
        <v>3813925</v>
      </c>
      <c r="K17" s="13">
        <v>3545312</v>
      </c>
      <c r="L17" s="13">
        <f>SUM($G$2:G17)</f>
        <v>299333</v>
      </c>
      <c r="M17" s="13">
        <f>SUM($F$2:F17)</f>
        <v>30720</v>
      </c>
      <c r="N17" s="20">
        <v>0.122</v>
      </c>
      <c r="O17" s="24">
        <f t="shared" si="2"/>
        <v>1.0166666666666666E-2</v>
      </c>
      <c r="P17" s="14">
        <f t="shared" si="4"/>
        <v>4000</v>
      </c>
      <c r="Q17" s="14">
        <f t="shared" si="3"/>
        <v>80000</v>
      </c>
      <c r="R17">
        <f>IFERROR(NPER(Table6[[#This Row],[Monthly intrest rate]],-Table6[[#This Row],[payment]],Table6[[#This Row],[Total Outstanding]]),"amount is too small")</f>
        <v>65.542023482271077</v>
      </c>
      <c r="S17" s="14">
        <v>0</v>
      </c>
    </row>
    <row r="18" spans="1:19" x14ac:dyDescent="0.25">
      <c r="A18">
        <v>17</v>
      </c>
      <c r="B18" s="10">
        <v>45965</v>
      </c>
      <c r="C18" s="10">
        <f t="shared" si="0"/>
        <v>45758</v>
      </c>
      <c r="D18" t="str">
        <f>TEXT(Combine_35Lakhs!$C18, "mmmm")</f>
        <v>April</v>
      </c>
      <c r="E18">
        <f t="shared" si="1"/>
        <v>2025</v>
      </c>
      <c r="F18" s="13">
        <f>SUM(Table1[[#This Row],[Payment Due]],'20Lakhs_Loan'!C5)</f>
        <v>3545</v>
      </c>
      <c r="G18" s="13">
        <f>SUM(Table1[[#This Row],[Interest]],'20Lakhs_Loan'!D5)</f>
        <v>38775</v>
      </c>
      <c r="H18" s="13">
        <f>SUM(Table1[[#This Row],[Principal]],'20Lakhs_Loan'!E5)</f>
        <v>0</v>
      </c>
      <c r="I18" s="13">
        <f>SUM(Table1[[#This Row],[Interest Accrued]],'20Lakhs_Loan'!F5)</f>
        <v>303843</v>
      </c>
      <c r="J18" s="13">
        <f>SUM(Table1[[#This Row],[Total Outstanding]],'20Lakhs_Loan'!G5)</f>
        <v>3849155</v>
      </c>
      <c r="K18" s="13">
        <v>3545312</v>
      </c>
      <c r="L18" s="13">
        <f>SUM($G$2:G18)</f>
        <v>338108</v>
      </c>
      <c r="M18" s="13">
        <f>SUM($F$2:F18)</f>
        <v>34265</v>
      </c>
      <c r="N18" s="20">
        <v>0.122</v>
      </c>
      <c r="O18" s="24">
        <f t="shared" si="2"/>
        <v>1.0166666666666666E-2</v>
      </c>
      <c r="P18" s="14">
        <f t="shared" si="4"/>
        <v>4000</v>
      </c>
      <c r="Q18" s="14">
        <f t="shared" si="3"/>
        <v>80000</v>
      </c>
      <c r="R18">
        <f>IFERROR(NPER(Table6[[#This Row],[Monthly intrest rate]],-Table6[[#This Row],[payment]],Table6[[#This Row],[Total Outstanding]]),"amount is too small")</f>
        <v>66.404689758497298</v>
      </c>
      <c r="S18" s="14">
        <v>0</v>
      </c>
    </row>
    <row r="19" spans="1:19" x14ac:dyDescent="0.25">
      <c r="A19">
        <v>18</v>
      </c>
      <c r="B19" s="10">
        <v>45966</v>
      </c>
      <c r="C19" s="10">
        <f t="shared" si="0"/>
        <v>45788</v>
      </c>
      <c r="D19" t="str">
        <f>TEXT(Combine_35Lakhs!$C19, "mmmm")</f>
        <v>May</v>
      </c>
      <c r="E19">
        <f t="shared" si="1"/>
        <v>2025</v>
      </c>
      <c r="F19" s="13">
        <f>SUM(Table1[[#This Row],[Payment Due]],'20Lakhs_Loan'!C6)</f>
        <v>3545</v>
      </c>
      <c r="G19" s="13">
        <f>SUM(Table1[[#This Row],[Interest]],'20Lakhs_Loan'!D6)</f>
        <v>39133</v>
      </c>
      <c r="H19" s="13">
        <f>SUM(Table1[[#This Row],[Principal]],'20Lakhs_Loan'!E6)</f>
        <v>0</v>
      </c>
      <c r="I19" s="13">
        <f>SUM(Table1[[#This Row],[Interest Accrued]],'20Lakhs_Loan'!F6)</f>
        <v>339430</v>
      </c>
      <c r="J19" s="13">
        <f>SUM(Table1[[#This Row],[Total Outstanding]],'20Lakhs_Loan'!G6)</f>
        <v>3884742</v>
      </c>
      <c r="K19" s="13">
        <v>3545312</v>
      </c>
      <c r="L19" s="13">
        <f>SUM($G$2:G19)</f>
        <v>377241</v>
      </c>
      <c r="M19" s="13">
        <f>SUM($F$2:F19)</f>
        <v>37810</v>
      </c>
      <c r="N19" s="20">
        <v>0.122</v>
      </c>
      <c r="O19" s="24">
        <f t="shared" si="2"/>
        <v>1.0166666666666666E-2</v>
      </c>
      <c r="P19" s="14">
        <f t="shared" si="4"/>
        <v>4000</v>
      </c>
      <c r="Q19" s="14">
        <f t="shared" si="3"/>
        <v>80000</v>
      </c>
      <c r="R19">
        <f>IFERROR(NPER(Table6[[#This Row],[Monthly intrest rate]],-Table6[[#This Row],[payment]],Table6[[#This Row],[Total Outstanding]]),"amount is too small")</f>
        <v>67.283808142583155</v>
      </c>
      <c r="S19" s="14">
        <v>0</v>
      </c>
    </row>
    <row r="20" spans="1:19" x14ac:dyDescent="0.25">
      <c r="A20">
        <v>19</v>
      </c>
      <c r="B20" s="10">
        <v>45967</v>
      </c>
      <c r="C20" s="10">
        <f t="shared" si="0"/>
        <v>45819</v>
      </c>
      <c r="D20" t="str">
        <f>TEXT(Combine_35Lakhs!$C20, "mmmm")</f>
        <v>June</v>
      </c>
      <c r="E20">
        <f t="shared" si="1"/>
        <v>2025</v>
      </c>
      <c r="F20" s="13">
        <f>SUM(Table1[[#This Row],[Payment Due]],'20Lakhs_Loan'!C7)</f>
        <v>3545</v>
      </c>
      <c r="G20" s="13">
        <f>SUM(Table1[[#This Row],[Interest]],'20Lakhs_Loan'!D7)</f>
        <v>39495</v>
      </c>
      <c r="H20" s="13">
        <f>SUM(Table1[[#This Row],[Principal]],'20Lakhs_Loan'!E7)</f>
        <v>0</v>
      </c>
      <c r="I20" s="13">
        <f>SUM(Table1[[#This Row],[Interest Accrued]],'20Lakhs_Loan'!F7)</f>
        <v>375380</v>
      </c>
      <c r="J20" s="13">
        <f>SUM(Table1[[#This Row],[Total Outstanding]],'20Lakhs_Loan'!G7)</f>
        <v>3920692</v>
      </c>
      <c r="K20" s="13">
        <v>3545312</v>
      </c>
      <c r="L20" s="13">
        <f>SUM($G$2:G20)</f>
        <v>416736</v>
      </c>
      <c r="M20" s="13">
        <f>SUM($F$2:F20)</f>
        <v>41355</v>
      </c>
      <c r="N20" s="20">
        <v>0.122</v>
      </c>
      <c r="O20" s="24">
        <f t="shared" si="2"/>
        <v>1.0166666666666666E-2</v>
      </c>
      <c r="P20" s="14">
        <f t="shared" si="4"/>
        <v>4000</v>
      </c>
      <c r="Q20" s="14">
        <f t="shared" si="3"/>
        <v>80000</v>
      </c>
      <c r="R20">
        <f>IFERROR(NPER(Table6[[#This Row],[Monthly intrest rate]],-Table6[[#This Row],[payment]],Table6[[#This Row],[Total Outstanding]]),"amount is too small")</f>
        <v>68.179903255885321</v>
      </c>
      <c r="S20" s="14">
        <v>0</v>
      </c>
    </row>
    <row r="21" spans="1:19" x14ac:dyDescent="0.25">
      <c r="A21">
        <v>20</v>
      </c>
      <c r="B21" s="10">
        <v>45968</v>
      </c>
      <c r="C21" s="10">
        <f t="shared" si="0"/>
        <v>45849</v>
      </c>
      <c r="D21" t="str">
        <f>TEXT(Combine_35Lakhs!$C21, "mmmm")</f>
        <v>July</v>
      </c>
      <c r="E21">
        <f t="shared" si="1"/>
        <v>2025</v>
      </c>
      <c r="F21" s="13">
        <f>SUM(Table1[[#This Row],[Payment Due]],'20Lakhs_Loan'!C8)</f>
        <v>3545</v>
      </c>
      <c r="G21" s="13">
        <f>SUM(Table1[[#This Row],[Interest]],'20Lakhs_Loan'!D8)</f>
        <v>39860</v>
      </c>
      <c r="H21" s="13">
        <f>SUM(Table1[[#This Row],[Principal]],'20Lakhs_Loan'!E8)</f>
        <v>0</v>
      </c>
      <c r="I21" s="13">
        <f>SUM(Table1[[#This Row],[Interest Accrued]],'20Lakhs_Loan'!F8)</f>
        <v>411696</v>
      </c>
      <c r="J21" s="13">
        <f>SUM(Table1[[#This Row],[Total Outstanding]],'20Lakhs_Loan'!G8)</f>
        <v>3957008</v>
      </c>
      <c r="K21" s="13">
        <v>3545312</v>
      </c>
      <c r="L21" s="13">
        <f>SUM($G$2:G21)</f>
        <v>456596</v>
      </c>
      <c r="M21" s="13">
        <f>SUM($F$2:F21)</f>
        <v>44900</v>
      </c>
      <c r="N21" s="20">
        <v>0.122</v>
      </c>
      <c r="O21" s="24">
        <f t="shared" si="2"/>
        <v>1.0166666666666666E-2</v>
      </c>
      <c r="P21" s="14">
        <f t="shared" si="4"/>
        <v>4000</v>
      </c>
      <c r="Q21" s="14">
        <f t="shared" si="3"/>
        <v>80000</v>
      </c>
      <c r="R21">
        <f>IFERROR(NPER(Table6[[#This Row],[Monthly intrest rate]],-Table6[[#This Row],[payment]],Table6[[#This Row],[Total Outstanding]]),"amount is too small")</f>
        <v>69.093444289671098</v>
      </c>
      <c r="S21" s="14">
        <v>0</v>
      </c>
    </row>
    <row r="22" spans="1:19" x14ac:dyDescent="0.25">
      <c r="A22">
        <v>21</v>
      </c>
      <c r="B22" s="10">
        <v>45969</v>
      </c>
      <c r="C22" s="10">
        <f t="shared" si="0"/>
        <v>45880</v>
      </c>
      <c r="D22" t="str">
        <f>TEXT(Combine_35Lakhs!$C22, "mmmm")</f>
        <v>August</v>
      </c>
      <c r="E22">
        <f t="shared" si="1"/>
        <v>2025</v>
      </c>
      <c r="F22" s="13">
        <f>SUM(Table1[[#This Row],[Payment Due]],'20Lakhs_Loan'!C9)</f>
        <v>3545</v>
      </c>
      <c r="G22" s="13">
        <f>SUM(Table1[[#This Row],[Interest]],'20Lakhs_Loan'!D9)</f>
        <v>40229</v>
      </c>
      <c r="H22" s="13">
        <f>SUM(Table1[[#This Row],[Principal]],'20Lakhs_Loan'!E9)</f>
        <v>0</v>
      </c>
      <c r="I22" s="13">
        <f>SUM(Table1[[#This Row],[Interest Accrued]],'20Lakhs_Loan'!F9)</f>
        <v>448380</v>
      </c>
      <c r="J22" s="13">
        <f>SUM(Table1[[#This Row],[Total Outstanding]],'20Lakhs_Loan'!G9)</f>
        <v>3993692</v>
      </c>
      <c r="K22" s="13">
        <v>3545312</v>
      </c>
      <c r="L22" s="13">
        <f>SUM($G$2:G22)</f>
        <v>496825</v>
      </c>
      <c r="M22" s="13">
        <f>SUM($F$2:F22)</f>
        <v>48445</v>
      </c>
      <c r="N22" s="20">
        <v>0.122</v>
      </c>
      <c r="O22" s="24">
        <f t="shared" si="2"/>
        <v>1.0166666666666666E-2</v>
      </c>
      <c r="P22" s="14">
        <f t="shared" si="4"/>
        <v>4000</v>
      </c>
      <c r="Q22" s="14">
        <f t="shared" si="3"/>
        <v>80000</v>
      </c>
      <c r="R22">
        <f>IFERROR(NPER(Table6[[#This Row],[Monthly intrest rate]],-Table6[[#This Row],[payment]],Table6[[#This Row],[Total Outstanding]]),"amount is too small")</f>
        <v>70.024893605307341</v>
      </c>
      <c r="S22" s="14">
        <v>0</v>
      </c>
    </row>
    <row r="23" spans="1:19" x14ac:dyDescent="0.25">
      <c r="A23">
        <v>22</v>
      </c>
      <c r="B23" s="10">
        <v>45970</v>
      </c>
      <c r="C23" s="10">
        <f t="shared" si="0"/>
        <v>45911</v>
      </c>
      <c r="D23" t="str">
        <f>TEXT(Combine_35Lakhs!$C23, "mmmm")</f>
        <v>September</v>
      </c>
      <c r="E23">
        <f t="shared" si="1"/>
        <v>2025</v>
      </c>
      <c r="F23" s="13">
        <f>SUM(Table1[[#This Row],[Payment Due]],'20Lakhs_Loan'!C10)</f>
        <v>3545</v>
      </c>
      <c r="G23" s="13">
        <f>SUM(Table1[[#This Row],[Interest]],'20Lakhs_Loan'!D10)</f>
        <v>40603</v>
      </c>
      <c r="H23" s="13">
        <f>SUM(Table1[[#This Row],[Principal]],'20Lakhs_Loan'!E10)</f>
        <v>0</v>
      </c>
      <c r="I23" s="13">
        <f>SUM(Table1[[#This Row],[Interest Accrued]],'20Lakhs_Loan'!F10)</f>
        <v>485438</v>
      </c>
      <c r="J23" s="13">
        <f>SUM(Table1[[#This Row],[Total Outstanding]],'20Lakhs_Loan'!G10)</f>
        <v>4030750</v>
      </c>
      <c r="K23" s="13">
        <v>3545312</v>
      </c>
      <c r="L23" s="13">
        <f>SUM($G$2:G23)</f>
        <v>537428</v>
      </c>
      <c r="M23" s="13">
        <f>SUM($F$2:F23)</f>
        <v>51990</v>
      </c>
      <c r="N23" s="20">
        <v>0.122</v>
      </c>
      <c r="O23" s="24">
        <f t="shared" si="2"/>
        <v>1.0166666666666666E-2</v>
      </c>
      <c r="P23" s="14">
        <f t="shared" si="4"/>
        <v>4000</v>
      </c>
      <c r="Q23" s="14">
        <f t="shared" si="3"/>
        <v>80000</v>
      </c>
      <c r="R23">
        <f>IFERROR(NPER(Table6[[#This Row],[Monthly intrest rate]],-Table6[[#This Row],[payment]],Table6[[#This Row],[Total Outstanding]]),"amount is too small")</f>
        <v>70.974835327798061</v>
      </c>
      <c r="S23" s="14">
        <v>0</v>
      </c>
    </row>
    <row r="24" spans="1:19" x14ac:dyDescent="0.25">
      <c r="A24">
        <v>23</v>
      </c>
      <c r="B24" s="10">
        <v>45971</v>
      </c>
      <c r="C24" s="10">
        <f t="shared" si="0"/>
        <v>45941</v>
      </c>
      <c r="D24" t="str">
        <f>TEXT(Combine_35Lakhs!$C24, "mmmm")</f>
        <v>October</v>
      </c>
      <c r="E24">
        <f t="shared" si="1"/>
        <v>2025</v>
      </c>
      <c r="F24" s="13">
        <f>SUM(Table1[[#This Row],[Payment Due]],'20Lakhs_Loan'!C11)</f>
        <v>3545</v>
      </c>
      <c r="G24" s="13">
        <f>SUM(Table1[[#This Row],[Interest]],'20Lakhs_Loan'!D11)</f>
        <v>40979</v>
      </c>
      <c r="H24" s="13">
        <f>SUM(Table1[[#This Row],[Principal]],'20Lakhs_Loan'!E11)</f>
        <v>0</v>
      </c>
      <c r="I24" s="13">
        <f>SUM(Table1[[#This Row],[Interest Accrued]],'20Lakhs_Loan'!F11)</f>
        <v>522872</v>
      </c>
      <c r="J24" s="13">
        <f>SUM(Table1[[#This Row],[Total Outstanding]],'20Lakhs_Loan'!G11)</f>
        <v>4068184</v>
      </c>
      <c r="K24" s="13">
        <v>3545312</v>
      </c>
      <c r="L24" s="13">
        <f>SUM($G$2:G24)</f>
        <v>578407</v>
      </c>
      <c r="M24" s="13">
        <f>SUM($F$2:F24)</f>
        <v>55535</v>
      </c>
      <c r="N24" s="20">
        <v>0.122</v>
      </c>
      <c r="O24" s="24">
        <f t="shared" si="2"/>
        <v>1.0166666666666666E-2</v>
      </c>
      <c r="P24" s="14">
        <f t="shared" si="4"/>
        <v>4000</v>
      </c>
      <c r="Q24" s="14">
        <f t="shared" si="3"/>
        <v>80000</v>
      </c>
      <c r="R24">
        <f>IFERROR(NPER(Table6[[#This Row],[Monthly intrest rate]],-Table6[[#This Row],[payment]],Table6[[#This Row],[Total Outstanding]]),"amount is too small")</f>
        <v>71.943773366846685</v>
      </c>
      <c r="S24" s="14">
        <v>0</v>
      </c>
    </row>
    <row r="25" spans="1:19" x14ac:dyDescent="0.25">
      <c r="A25">
        <v>24</v>
      </c>
      <c r="B25" s="10">
        <v>45972</v>
      </c>
      <c r="C25" s="10">
        <f t="shared" si="0"/>
        <v>45972</v>
      </c>
      <c r="D25" t="str">
        <f>TEXT(Combine_35Lakhs!$C25, "mmmm")</f>
        <v>November</v>
      </c>
      <c r="E25">
        <f t="shared" si="1"/>
        <v>2025</v>
      </c>
      <c r="F25" s="13">
        <f>SUM(Table1[[#This Row],[Payment Due]],'20Lakhs_Loan'!C12)</f>
        <v>3545</v>
      </c>
      <c r="G25" s="13">
        <f>SUM(Table1[[#This Row],[Interest]],'20Lakhs_Loan'!D12)</f>
        <v>41360</v>
      </c>
      <c r="H25" s="13">
        <f>SUM(Table1[[#This Row],[Principal]],'20Lakhs_Loan'!E12)</f>
        <v>0</v>
      </c>
      <c r="I25" s="13">
        <f>SUM(Table1[[#This Row],[Interest Accrued]],'20Lakhs_Loan'!F12)</f>
        <v>560687</v>
      </c>
      <c r="J25" s="13">
        <f>SUM(Table1[[#This Row],[Total Outstanding]],'20Lakhs_Loan'!G12)</f>
        <v>4105999</v>
      </c>
      <c r="K25" s="13">
        <v>3545312</v>
      </c>
      <c r="L25" s="13">
        <f>SUM($G$2:G25)</f>
        <v>619767</v>
      </c>
      <c r="M25" s="13">
        <f>SUM($F$2:F25)</f>
        <v>59080</v>
      </c>
      <c r="N25" s="20">
        <v>0.122</v>
      </c>
      <c r="O25" s="24">
        <f t="shared" si="2"/>
        <v>1.0166666666666666E-2</v>
      </c>
      <c r="P25" s="14">
        <f t="shared" si="4"/>
        <v>4000</v>
      </c>
      <c r="Q25" s="14">
        <f t="shared" si="3"/>
        <v>80000</v>
      </c>
      <c r="R25">
        <f>IFERROR(NPER(Table6[[#This Row],[Monthly intrest rate]],-Table6[[#This Row],[payment]],Table6[[#This Row],[Total Outstanding]]),"amount is too small")</f>
        <v>72.932311513681071</v>
      </c>
      <c r="S25" s="14">
        <v>0</v>
      </c>
    </row>
    <row r="26" spans="1:19" x14ac:dyDescent="0.25">
      <c r="A26">
        <v>25</v>
      </c>
      <c r="B26" s="10">
        <v>45973</v>
      </c>
      <c r="C26" s="10">
        <f t="shared" si="0"/>
        <v>46002</v>
      </c>
      <c r="D26" t="str">
        <f>TEXT(Combine_35Lakhs!$C26, "mmmm")</f>
        <v>December</v>
      </c>
      <c r="E26">
        <f t="shared" si="1"/>
        <v>2025</v>
      </c>
      <c r="F26" s="13">
        <f>SUM(Table1[[#This Row],[Payment Due]],'20Lakhs_Loan'!C13)</f>
        <v>3545</v>
      </c>
      <c r="G26" s="13">
        <f>SUM(Table1[[#This Row],[Interest]],'20Lakhs_Loan'!D13)</f>
        <v>41745</v>
      </c>
      <c r="H26" s="13">
        <f>SUM(Table1[[#This Row],[Principal]],'20Lakhs_Loan'!E13)</f>
        <v>0</v>
      </c>
      <c r="I26" s="13">
        <f>SUM(Table1[[#This Row],[Interest Accrued]],'20Lakhs_Loan'!F13)</f>
        <v>598886</v>
      </c>
      <c r="J26" s="13">
        <f>SUM(Table1[[#This Row],[Total Outstanding]],'20Lakhs_Loan'!G13)</f>
        <v>4144198</v>
      </c>
      <c r="K26" s="13">
        <v>3545312</v>
      </c>
      <c r="L26" s="13">
        <f>SUM($G$2:G26)</f>
        <v>661512</v>
      </c>
      <c r="M26" s="13">
        <f>SUM($F$2:F26)</f>
        <v>62625</v>
      </c>
      <c r="N26" s="20">
        <v>0.122</v>
      </c>
      <c r="O26" s="24">
        <f t="shared" si="2"/>
        <v>1.0166666666666666E-2</v>
      </c>
      <c r="P26" s="14">
        <f t="shared" si="4"/>
        <v>4000</v>
      </c>
      <c r="Q26" s="14">
        <f t="shared" si="3"/>
        <v>80000</v>
      </c>
      <c r="R26">
        <f>IFERROR(NPER(Table6[[#This Row],[Monthly intrest rate]],-Table6[[#This Row],[payment]],Table6[[#This Row],[Total Outstanding]]),"amount is too small")</f>
        <v>73.941025973422157</v>
      </c>
      <c r="S26" s="14">
        <v>0</v>
      </c>
    </row>
    <row r="27" spans="1:19" x14ac:dyDescent="0.25">
      <c r="A27">
        <v>26</v>
      </c>
      <c r="B27" s="10">
        <v>46327</v>
      </c>
      <c r="C27" s="10">
        <f t="shared" si="0"/>
        <v>46033</v>
      </c>
      <c r="D27" t="str">
        <f>TEXT(Combine_35Lakhs!$C27, "mmmm")</f>
        <v>January</v>
      </c>
      <c r="E27">
        <f t="shared" si="1"/>
        <v>2026</v>
      </c>
      <c r="F27" s="13">
        <f>SUM(Table1[[#This Row],[Payment Due]],'20Lakhs_Loan'!C14)</f>
        <v>3545</v>
      </c>
      <c r="G27" s="13">
        <f>SUM(Table1[[#This Row],[Interest]],'20Lakhs_Loan'!D14)</f>
        <v>42133</v>
      </c>
      <c r="H27" s="13">
        <f>SUM(Table1[[#This Row],[Principal]],'20Lakhs_Loan'!E14)</f>
        <v>0</v>
      </c>
      <c r="I27" s="13">
        <f>SUM(Table1[[#This Row],[Interest Accrued]],'20Lakhs_Loan'!F14)</f>
        <v>637474</v>
      </c>
      <c r="J27" s="13">
        <f>SUM(Table1[[#This Row],[Total Outstanding]],'20Lakhs_Loan'!G14)</f>
        <v>4182786</v>
      </c>
      <c r="K27" s="13">
        <v>3545312</v>
      </c>
      <c r="L27" s="13">
        <f>SUM($G$2:G27)</f>
        <v>703645</v>
      </c>
      <c r="M27" s="13">
        <f>SUM($F$2:F27)</f>
        <v>66170</v>
      </c>
      <c r="N27" s="20">
        <v>0.122</v>
      </c>
      <c r="O27" s="24">
        <f t="shared" si="2"/>
        <v>1.0166666666666666E-2</v>
      </c>
      <c r="P27" s="14">
        <f t="shared" si="4"/>
        <v>4000</v>
      </c>
      <c r="Q27" s="14">
        <f t="shared" si="3"/>
        <v>80000</v>
      </c>
      <c r="R27">
        <f>IFERROR(NPER(Table6[[#This Row],[Monthly intrest rate]],-Table6[[#This Row],[payment]],Table6[[#This Row],[Total Outstanding]]),"amount is too small")</f>
        <v>74.970571405309045</v>
      </c>
      <c r="S27" s="14">
        <v>0</v>
      </c>
    </row>
    <row r="28" spans="1:19" x14ac:dyDescent="0.25">
      <c r="A28">
        <v>27</v>
      </c>
      <c r="B28" s="10">
        <v>46328</v>
      </c>
      <c r="C28" s="10">
        <f t="shared" si="0"/>
        <v>46064</v>
      </c>
      <c r="D28" t="str">
        <f>TEXT(Combine_35Lakhs!$C28, "mmmm")</f>
        <v>February</v>
      </c>
      <c r="E28">
        <f t="shared" si="1"/>
        <v>2026</v>
      </c>
      <c r="F28" s="13">
        <f>SUM(Table1[[#This Row],[Payment Due]],'20Lakhs_Loan'!C15)</f>
        <v>3545</v>
      </c>
      <c r="G28" s="13">
        <f>SUM(Table1[[#This Row],[Interest]],'20Lakhs_Loan'!D15)</f>
        <v>42525</v>
      </c>
      <c r="H28" s="13">
        <f>SUM(Table1[[#This Row],[Principal]],'20Lakhs_Loan'!E15)</f>
        <v>0</v>
      </c>
      <c r="I28" s="13">
        <f>SUM(Table1[[#This Row],[Interest Accrued]],'20Lakhs_Loan'!F15)</f>
        <v>676454</v>
      </c>
      <c r="J28" s="13">
        <f>SUM(Table1[[#This Row],[Total Outstanding]],'20Lakhs_Loan'!G15)</f>
        <v>4221766</v>
      </c>
      <c r="K28" s="13">
        <v>3545312</v>
      </c>
      <c r="L28" s="13">
        <f>SUM($G$2:G28)</f>
        <v>746170</v>
      </c>
      <c r="M28" s="13">
        <f>SUM($F$2:F28)</f>
        <v>69715</v>
      </c>
      <c r="N28" s="20">
        <v>0.122</v>
      </c>
      <c r="O28" s="24">
        <f t="shared" si="2"/>
        <v>1.0166666666666666E-2</v>
      </c>
      <c r="P28" s="14">
        <f t="shared" si="4"/>
        <v>4000</v>
      </c>
      <c r="Q28" s="14">
        <f t="shared" si="3"/>
        <v>80000</v>
      </c>
      <c r="R28">
        <f>IFERROR(NPER(Table6[[#This Row],[Monthly intrest rate]],-Table6[[#This Row],[payment]],Table6[[#This Row],[Total Outstanding]]),"amount is too small")</f>
        <v>76.021576843507361</v>
      </c>
      <c r="S28" s="14">
        <v>0</v>
      </c>
    </row>
    <row r="29" spans="1:19" x14ac:dyDescent="0.25">
      <c r="A29">
        <v>28</v>
      </c>
      <c r="B29" s="10">
        <v>46329</v>
      </c>
      <c r="C29" s="10">
        <f t="shared" si="0"/>
        <v>46092</v>
      </c>
      <c r="D29" t="str">
        <f>TEXT(Combine_35Lakhs!$C29, "mmmm")</f>
        <v>March</v>
      </c>
      <c r="E29">
        <f t="shared" si="1"/>
        <v>2026</v>
      </c>
      <c r="F29" s="13">
        <f>SUM(Table1[[#This Row],[Payment Due]],'20Lakhs_Loan'!C16)</f>
        <v>3545</v>
      </c>
      <c r="G29" s="13">
        <f>SUM(Table1[[#This Row],[Interest]],'20Lakhs_Loan'!D16)</f>
        <v>42921</v>
      </c>
      <c r="H29" s="13">
        <f>SUM(Table1[[#This Row],[Principal]],'20Lakhs_Loan'!E16)</f>
        <v>0</v>
      </c>
      <c r="I29" s="13">
        <f>SUM(Table1[[#This Row],[Interest Accrued]],'20Lakhs_Loan'!F16)</f>
        <v>715830</v>
      </c>
      <c r="J29" s="13">
        <f>SUM(Table1[[#This Row],[Total Outstanding]],'20Lakhs_Loan'!G16)</f>
        <v>4261142</v>
      </c>
      <c r="K29" s="13">
        <v>3545312</v>
      </c>
      <c r="L29" s="13">
        <f>SUM($G$2:G29)</f>
        <v>789091</v>
      </c>
      <c r="M29" s="13">
        <f>SUM($F$2:F29)</f>
        <v>73260</v>
      </c>
      <c r="N29" s="20">
        <v>0.122</v>
      </c>
      <c r="O29" s="24">
        <f t="shared" si="2"/>
        <v>1.0166666666666666E-2</v>
      </c>
      <c r="P29" s="14">
        <f t="shared" si="4"/>
        <v>4000</v>
      </c>
      <c r="Q29" s="14">
        <f t="shared" si="3"/>
        <v>80000</v>
      </c>
      <c r="R29">
        <f>IFERROR(NPER(Table6[[#This Row],[Monthly intrest rate]],-Table6[[#This Row],[payment]],Table6[[#This Row],[Total Outstanding]]),"amount is too small")</f>
        <v>77.094726721538848</v>
      </c>
      <c r="S29" s="14">
        <v>0</v>
      </c>
    </row>
    <row r="30" spans="1:19" x14ac:dyDescent="0.25">
      <c r="A30">
        <v>29</v>
      </c>
      <c r="B30" s="10">
        <v>46330</v>
      </c>
      <c r="C30" s="10">
        <f t="shared" si="0"/>
        <v>46123</v>
      </c>
      <c r="D30" t="str">
        <f>TEXT(Combine_35Lakhs!$C30, "mmmm")</f>
        <v>April</v>
      </c>
      <c r="E30">
        <f t="shared" si="1"/>
        <v>2026</v>
      </c>
      <c r="F30" s="13">
        <f>SUM(Table1[[#This Row],[Payment Due]],'20Lakhs_Loan'!C17)</f>
        <v>3545</v>
      </c>
      <c r="G30" s="13">
        <f>SUM(Table1[[#This Row],[Interest]],'20Lakhs_Loan'!D17)</f>
        <v>43322</v>
      </c>
      <c r="H30" s="13">
        <f>SUM(Table1[[#This Row],[Principal]],'20Lakhs_Loan'!E17)</f>
        <v>0</v>
      </c>
      <c r="I30" s="13">
        <f>SUM(Table1[[#This Row],[Interest Accrued]],'20Lakhs_Loan'!F17)</f>
        <v>755607</v>
      </c>
      <c r="J30" s="13">
        <f>SUM(Table1[[#This Row],[Total Outstanding]],'20Lakhs_Loan'!G17)</f>
        <v>4300919</v>
      </c>
      <c r="K30" s="13">
        <v>3545312</v>
      </c>
      <c r="L30" s="13">
        <f>SUM($G$2:G30)</f>
        <v>832413</v>
      </c>
      <c r="M30" s="13">
        <f>SUM($F$2:F30)</f>
        <v>76805</v>
      </c>
      <c r="N30" s="20">
        <v>0.122</v>
      </c>
      <c r="O30" s="24">
        <f t="shared" si="2"/>
        <v>1.0166666666666666E-2</v>
      </c>
      <c r="P30" s="14">
        <f t="shared" si="4"/>
        <v>4000</v>
      </c>
      <c r="Q30" s="14">
        <f t="shared" si="3"/>
        <v>80000</v>
      </c>
      <c r="R30">
        <f>IFERROR(NPER(Table6[[#This Row],[Monthly intrest rate]],-Table6[[#This Row],[payment]],Table6[[#This Row],[Total Outstanding]]),"amount is too small")</f>
        <v>78.190764121848702</v>
      </c>
      <c r="S30" s="14">
        <v>0</v>
      </c>
    </row>
    <row r="31" spans="1:19" x14ac:dyDescent="0.25">
      <c r="A31">
        <v>30</v>
      </c>
      <c r="B31" s="10">
        <v>46331</v>
      </c>
      <c r="C31" s="10">
        <f t="shared" si="0"/>
        <v>46153</v>
      </c>
      <c r="D31" t="str">
        <f>TEXT(Combine_35Lakhs!$C31, "mmmm")</f>
        <v>May</v>
      </c>
      <c r="E31">
        <f t="shared" si="1"/>
        <v>2026</v>
      </c>
      <c r="F31" s="13">
        <f>SUM(Table1[[#This Row],[Payment Due]],'20Lakhs_Loan'!C18)</f>
        <v>3545</v>
      </c>
      <c r="G31" s="13">
        <f>SUM(Table1[[#This Row],[Interest]],'20Lakhs_Loan'!D18)</f>
        <v>43726</v>
      </c>
      <c r="H31" s="13">
        <f>SUM(Table1[[#This Row],[Principal]],'20Lakhs_Loan'!E18)</f>
        <v>0</v>
      </c>
      <c r="I31" s="13">
        <f>SUM(Table1[[#This Row],[Interest Accrued]],'20Lakhs_Loan'!F18)</f>
        <v>795788</v>
      </c>
      <c r="J31" s="13">
        <f>SUM(Table1[[#This Row],[Total Outstanding]],'20Lakhs_Loan'!G18)</f>
        <v>4341100</v>
      </c>
      <c r="K31" s="13">
        <v>3545312</v>
      </c>
      <c r="L31" s="13">
        <f>SUM($G$2:G31)</f>
        <v>876139</v>
      </c>
      <c r="M31" s="13">
        <f>SUM($F$2:F31)</f>
        <v>80350</v>
      </c>
      <c r="N31" s="20">
        <v>0.122</v>
      </c>
      <c r="O31" s="24">
        <f t="shared" si="2"/>
        <v>1.0166666666666666E-2</v>
      </c>
      <c r="P31" s="14">
        <f t="shared" si="4"/>
        <v>4000</v>
      </c>
      <c r="Q31" s="14">
        <f t="shared" si="3"/>
        <v>80000</v>
      </c>
      <c r="R31">
        <f>IFERROR(NPER(Table6[[#This Row],[Monthly intrest rate]],-Table6[[#This Row],[payment]],Table6[[#This Row],[Total Outstanding]]),"amount is too small")</f>
        <v>79.31041024029976</v>
      </c>
      <c r="S31" s="14">
        <v>0</v>
      </c>
    </row>
    <row r="32" spans="1:19" x14ac:dyDescent="0.25">
      <c r="A32">
        <v>31</v>
      </c>
      <c r="B32" s="10">
        <v>46332</v>
      </c>
      <c r="C32" s="10">
        <f t="shared" si="0"/>
        <v>46184</v>
      </c>
      <c r="D32" t="str">
        <f>TEXT(Combine_35Lakhs!$C32, "mmmm")</f>
        <v>June</v>
      </c>
      <c r="E32">
        <f t="shared" si="1"/>
        <v>2026</v>
      </c>
      <c r="F32" s="13">
        <f>SUM(Table1[[#This Row],[Payment Due]],'20Lakhs_Loan'!C19)</f>
        <v>3545</v>
      </c>
      <c r="G32" s="13">
        <f>SUM(Table1[[#This Row],[Interest]],'20Lakhs_Loan'!D19)</f>
        <v>44134</v>
      </c>
      <c r="H32" s="13">
        <f>SUM(Table1[[#This Row],[Principal]],'20Lakhs_Loan'!E19)</f>
        <v>0</v>
      </c>
      <c r="I32" s="13">
        <f>SUM(Table1[[#This Row],[Interest Accrued]],'20Lakhs_Loan'!F19)</f>
        <v>836377</v>
      </c>
      <c r="J32" s="13">
        <f>SUM(Table1[[#This Row],[Total Outstanding]],'20Lakhs_Loan'!G19)</f>
        <v>4381689</v>
      </c>
      <c r="K32" s="13">
        <v>3545312</v>
      </c>
      <c r="L32" s="13">
        <f>SUM($G$2:G32)</f>
        <v>920273</v>
      </c>
      <c r="M32" s="13">
        <f>SUM($F$2:F32)</f>
        <v>83895</v>
      </c>
      <c r="N32" s="20">
        <v>0.122</v>
      </c>
      <c r="O32" s="24">
        <f t="shared" si="2"/>
        <v>1.0166666666666666E-2</v>
      </c>
      <c r="P32" s="14">
        <f t="shared" si="4"/>
        <v>4000</v>
      </c>
      <c r="Q32" s="14">
        <f t="shared" si="3"/>
        <v>80000</v>
      </c>
      <c r="R32">
        <f>IFERROR(NPER(Table6[[#This Row],[Monthly intrest rate]],-Table6[[#This Row],[payment]],Table6[[#This Row],[Total Outstanding]]),"amount is too small")</f>
        <v>80.454448392359609</v>
      </c>
      <c r="S32" s="14">
        <v>0</v>
      </c>
    </row>
    <row r="33" spans="1:19" x14ac:dyDescent="0.25">
      <c r="A33">
        <v>32</v>
      </c>
      <c r="B33" s="10">
        <v>46333</v>
      </c>
      <c r="C33" s="10">
        <f t="shared" si="0"/>
        <v>46214</v>
      </c>
      <c r="D33" t="str">
        <f>TEXT(Combine_35Lakhs!$C33, "mmmm")</f>
        <v>July</v>
      </c>
      <c r="E33">
        <f t="shared" si="1"/>
        <v>2026</v>
      </c>
      <c r="F33" s="13">
        <f>SUM(Table1[[#This Row],[Payment Due]],'20Lakhs_Loan'!C20)</f>
        <v>3545</v>
      </c>
      <c r="G33" s="13">
        <f>SUM(Table1[[#This Row],[Interest]],'20Lakhs_Loan'!D20)</f>
        <v>44548</v>
      </c>
      <c r="H33" s="13">
        <f>SUM(Table1[[#This Row],[Principal]],'20Lakhs_Loan'!E20)</f>
        <v>0</v>
      </c>
      <c r="I33" s="13">
        <f>SUM(Table1[[#This Row],[Interest Accrued]],'20Lakhs_Loan'!F20)</f>
        <v>877380</v>
      </c>
      <c r="J33" s="13">
        <f>SUM(Table1[[#This Row],[Total Outstanding]],'20Lakhs_Loan'!G20)</f>
        <v>4422692</v>
      </c>
      <c r="K33" s="13">
        <v>3545312</v>
      </c>
      <c r="L33" s="13">
        <f>SUM($G$2:G33)</f>
        <v>964821</v>
      </c>
      <c r="M33" s="13">
        <f>SUM($F$2:F33)</f>
        <v>87440</v>
      </c>
      <c r="N33" s="20">
        <v>0.122</v>
      </c>
      <c r="O33" s="24">
        <f t="shared" si="2"/>
        <v>1.0166666666666666E-2</v>
      </c>
      <c r="P33" s="14">
        <f t="shared" si="4"/>
        <v>4000</v>
      </c>
      <c r="Q33" s="14">
        <f t="shared" si="3"/>
        <v>80000</v>
      </c>
      <c r="R33">
        <f>IFERROR(NPER(Table6[[#This Row],[Monthly intrest rate]],-Table6[[#This Row],[payment]],Table6[[#This Row],[Total Outstanding]]),"amount is too small")</f>
        <v>81.623756565331519</v>
      </c>
      <c r="S33" s="14">
        <v>0</v>
      </c>
    </row>
    <row r="34" spans="1:19" x14ac:dyDescent="0.25">
      <c r="A34">
        <v>33</v>
      </c>
      <c r="B34" s="10">
        <v>46334</v>
      </c>
      <c r="C34" s="10">
        <f t="shared" si="0"/>
        <v>46245</v>
      </c>
      <c r="D34" t="str">
        <f>TEXT(Combine_35Lakhs!$C34, "mmmm")</f>
        <v>August</v>
      </c>
      <c r="E34">
        <f t="shared" si="1"/>
        <v>2026</v>
      </c>
      <c r="F34" s="13">
        <f>SUM(Table1[[#This Row],[Payment Due]],'20Lakhs_Loan'!C21)</f>
        <v>3545</v>
      </c>
      <c r="G34" s="13">
        <f>SUM(Table1[[#This Row],[Interest]],'20Lakhs_Loan'!D21)</f>
        <v>44964</v>
      </c>
      <c r="H34" s="13">
        <f>SUM(Table1[[#This Row],[Principal]],'20Lakhs_Loan'!E21)</f>
        <v>0</v>
      </c>
      <c r="I34" s="13">
        <f>SUM(Table1[[#This Row],[Interest Accrued]],'20Lakhs_Loan'!F21)</f>
        <v>918798</v>
      </c>
      <c r="J34" s="13">
        <f>SUM(Table1[[#This Row],[Total Outstanding]],'20Lakhs_Loan'!G21)</f>
        <v>4464110</v>
      </c>
      <c r="K34" s="13">
        <v>3545312</v>
      </c>
      <c r="L34" s="13">
        <f>SUM($G$2:G34)</f>
        <v>1009785</v>
      </c>
      <c r="M34" s="13">
        <f>SUM($F$2:F34)</f>
        <v>90985</v>
      </c>
      <c r="N34" s="20">
        <v>0.122</v>
      </c>
      <c r="O34" s="24">
        <f t="shared" si="2"/>
        <v>1.0166666666666666E-2</v>
      </c>
      <c r="P34" s="14">
        <f t="shared" si="4"/>
        <v>4000</v>
      </c>
      <c r="Q34" s="14">
        <f t="shared" si="3"/>
        <v>80000</v>
      </c>
      <c r="R34">
        <f>IFERROR(NPER(Table6[[#This Row],[Monthly intrest rate]],-Table6[[#This Row],[payment]],Table6[[#This Row],[Total Outstanding]]),"amount is too small")</f>
        <v>82.819110130094415</v>
      </c>
      <c r="S34" s="14">
        <v>0</v>
      </c>
    </row>
    <row r="35" spans="1:19" x14ac:dyDescent="0.25">
      <c r="A35">
        <v>34</v>
      </c>
      <c r="B35" s="10">
        <v>46335</v>
      </c>
      <c r="C35" s="10">
        <f t="shared" si="0"/>
        <v>46276</v>
      </c>
      <c r="D35" t="str">
        <f>TEXT(Combine_35Lakhs!$C35, "mmmm")</f>
        <v>September</v>
      </c>
      <c r="E35">
        <f t="shared" si="1"/>
        <v>2026</v>
      </c>
      <c r="F35" s="13">
        <f>SUM(Table1[[#This Row],[Payment Due]],'20Lakhs_Loan'!C22)</f>
        <v>3545</v>
      </c>
      <c r="G35" s="13">
        <f>SUM(Table1[[#This Row],[Interest]],'20Lakhs_Loan'!D22)</f>
        <v>45385</v>
      </c>
      <c r="H35" s="13">
        <f>SUM(Table1[[#This Row],[Principal]],'20Lakhs_Loan'!E22)</f>
        <v>0</v>
      </c>
      <c r="I35" s="13">
        <f>SUM(Table1[[#This Row],[Interest Accrued]],'20Lakhs_Loan'!F22)</f>
        <v>960639</v>
      </c>
      <c r="J35" s="13">
        <f>SUM(Table1[[#This Row],[Total Outstanding]],'20Lakhs_Loan'!G22)</f>
        <v>4505951</v>
      </c>
      <c r="K35" s="13">
        <v>3545312</v>
      </c>
      <c r="L35" s="13">
        <f>SUM($G$2:G35)</f>
        <v>1055170</v>
      </c>
      <c r="M35" s="13">
        <f>SUM($F$2:F35)</f>
        <v>94530</v>
      </c>
      <c r="N35" s="20">
        <v>0.122</v>
      </c>
      <c r="O35" s="24">
        <f t="shared" si="2"/>
        <v>1.0166666666666666E-2</v>
      </c>
      <c r="P35" s="14">
        <f t="shared" si="4"/>
        <v>4000</v>
      </c>
      <c r="Q35" s="14">
        <f t="shared" si="3"/>
        <v>80000</v>
      </c>
      <c r="R35">
        <f>IFERROR(NPER(Table6[[#This Row],[Monthly intrest rate]],-Table6[[#This Row],[payment]],Table6[[#This Row],[Total Outstanding]]),"amount is too small")</f>
        <v>84.041528502208763</v>
      </c>
      <c r="S35" s="14">
        <v>0</v>
      </c>
    </row>
    <row r="36" spans="1:19" x14ac:dyDescent="0.25">
      <c r="A36">
        <v>35</v>
      </c>
      <c r="B36" s="10">
        <v>46336</v>
      </c>
      <c r="C36" s="10">
        <f t="shared" si="0"/>
        <v>46306</v>
      </c>
      <c r="D36" t="str">
        <f>TEXT(Combine_35Lakhs!$C36, "mmmm")</f>
        <v>October</v>
      </c>
      <c r="E36">
        <f t="shared" si="1"/>
        <v>2026</v>
      </c>
      <c r="F36" s="13">
        <f>SUM(Table1[[#This Row],[Payment Due]],'20Lakhs_Loan'!C23)</f>
        <v>3545</v>
      </c>
      <c r="G36" s="13">
        <f>SUM(Table1[[#This Row],[Interest]],'20Lakhs_Loan'!D23)</f>
        <v>45810</v>
      </c>
      <c r="H36" s="13">
        <f>SUM(Table1[[#This Row],[Principal]],'20Lakhs_Loan'!E23)</f>
        <v>0</v>
      </c>
      <c r="I36" s="13">
        <f>SUM(Table1[[#This Row],[Interest Accrued]],'20Lakhs_Loan'!F23)</f>
        <v>1002904</v>
      </c>
      <c r="J36" s="13">
        <f>SUM(Table1[[#This Row],[Total Outstanding]],'20Lakhs_Loan'!G23)</f>
        <v>4548216</v>
      </c>
      <c r="K36" s="13">
        <v>3545312</v>
      </c>
      <c r="L36" s="13">
        <f>SUM($G$2:G36)</f>
        <v>1100980</v>
      </c>
      <c r="M36" s="13">
        <f>SUM($F$2:F36)</f>
        <v>98075</v>
      </c>
      <c r="N36" s="20">
        <v>0.122</v>
      </c>
      <c r="O36" s="24">
        <f t="shared" si="2"/>
        <v>1.0166666666666666E-2</v>
      </c>
      <c r="P36" s="14">
        <f t="shared" si="4"/>
        <v>4000</v>
      </c>
      <c r="Q36" s="14">
        <f t="shared" si="3"/>
        <v>80000</v>
      </c>
      <c r="R36">
        <f>IFERROR(NPER(Table6[[#This Row],[Monthly intrest rate]],-Table6[[#This Row],[payment]],Table6[[#This Row],[Total Outstanding]]),"amount is too small")</f>
        <v>85.291873973993134</v>
      </c>
      <c r="S36" s="14">
        <v>0</v>
      </c>
    </row>
    <row r="37" spans="1:19" x14ac:dyDescent="0.25">
      <c r="A37">
        <v>36</v>
      </c>
      <c r="B37" s="10">
        <v>46337</v>
      </c>
      <c r="C37" s="10">
        <f t="shared" si="0"/>
        <v>46337</v>
      </c>
      <c r="D37" t="str">
        <f>TEXT(Combine_35Lakhs!$C37, "mmmm")</f>
        <v>November</v>
      </c>
      <c r="E37">
        <f t="shared" si="1"/>
        <v>2026</v>
      </c>
      <c r="F37" s="13">
        <f>SUM(Table1[[#This Row],[Payment Due]],'20Lakhs_Loan'!C24)</f>
        <v>3545</v>
      </c>
      <c r="G37" s="13">
        <f>SUM(Table1[[#This Row],[Interest]],'20Lakhs_Loan'!D24)</f>
        <v>46241</v>
      </c>
      <c r="H37" s="13">
        <f>SUM(Table1[[#This Row],[Principal]],'20Lakhs_Loan'!E24)</f>
        <v>0</v>
      </c>
      <c r="I37" s="13">
        <f>SUM(Table1[[#This Row],[Interest Accrued]],'20Lakhs_Loan'!F24)</f>
        <v>1045599</v>
      </c>
      <c r="J37" s="13">
        <f>SUM(Table1[[#This Row],[Total Outstanding]],'20Lakhs_Loan'!G24)</f>
        <v>4590911</v>
      </c>
      <c r="K37" s="13">
        <v>3545312</v>
      </c>
      <c r="L37" s="13">
        <f>SUM($G$2:G37)</f>
        <v>1147221</v>
      </c>
      <c r="M37" s="13">
        <f>SUM($F$2:F37)</f>
        <v>101620</v>
      </c>
      <c r="N37" s="20">
        <v>0.122</v>
      </c>
      <c r="O37" s="24">
        <f t="shared" si="2"/>
        <v>1.0166666666666666E-2</v>
      </c>
      <c r="P37" s="14">
        <f t="shared" si="4"/>
        <v>4000</v>
      </c>
      <c r="Q37" s="14">
        <f t="shared" si="3"/>
        <v>80000</v>
      </c>
      <c r="R37">
        <f>IFERROR(NPER(Table6[[#This Row],[Monthly intrest rate]],-Table6[[#This Row],[payment]],Table6[[#This Row],[Total Outstanding]]),"amount is too small")</f>
        <v>86.571203751718684</v>
      </c>
      <c r="S37" s="14">
        <v>0</v>
      </c>
    </row>
    <row r="38" spans="1:19" x14ac:dyDescent="0.25">
      <c r="A38">
        <v>37</v>
      </c>
      <c r="B38" s="10">
        <v>46338</v>
      </c>
      <c r="C38" s="10">
        <f t="shared" si="0"/>
        <v>46367</v>
      </c>
      <c r="D38" t="str">
        <f>TEXT(Combine_35Lakhs!$C38, "mmmm")</f>
        <v>December</v>
      </c>
      <c r="E38">
        <f t="shared" si="1"/>
        <v>2026</v>
      </c>
      <c r="F38" s="13">
        <f>SUM(Table1[[#This Row],[Payment Due]],'20Lakhs_Loan'!C25)</f>
        <v>3545</v>
      </c>
      <c r="G38" s="13">
        <f>SUM(Table1[[#This Row],[Interest]],'20Lakhs_Loan'!D25)</f>
        <v>46674</v>
      </c>
      <c r="H38" s="13">
        <f>SUM(Table1[[#This Row],[Principal]],'20Lakhs_Loan'!E25)</f>
        <v>0</v>
      </c>
      <c r="I38" s="13">
        <f>SUM(Table1[[#This Row],[Interest Accrued]],'20Lakhs_Loan'!F25)</f>
        <v>1088728</v>
      </c>
      <c r="J38" s="13">
        <f>SUM(Table1[[#This Row],[Total Outstanding]],'20Lakhs_Loan'!G25)</f>
        <v>4634040</v>
      </c>
      <c r="K38" s="13">
        <v>3545312</v>
      </c>
      <c r="L38" s="13">
        <f>SUM($G$2:G38)</f>
        <v>1193895</v>
      </c>
      <c r="M38" s="13">
        <f>SUM($F$2:F38)</f>
        <v>105165</v>
      </c>
      <c r="N38" s="20">
        <v>0.122</v>
      </c>
      <c r="O38" s="24">
        <f t="shared" si="2"/>
        <v>1.0166666666666666E-2</v>
      </c>
      <c r="P38" s="14">
        <f t="shared" si="4"/>
        <v>4000</v>
      </c>
      <c r="Q38" s="14">
        <f t="shared" si="3"/>
        <v>80000</v>
      </c>
      <c r="R38">
        <f>IFERROR(NPER(Table6[[#This Row],[Monthly intrest rate]],-Table6[[#This Row],[payment]],Table6[[#This Row],[Total Outstanding]]),"amount is too small")</f>
        <v>87.880569113433964</v>
      </c>
      <c r="S38" s="14">
        <v>0</v>
      </c>
    </row>
  </sheetData>
  <pageMargins left="0.7" right="0.7" top="0.75" bottom="0.75" header="0.3" footer="0.3"/>
  <ignoredErrors>
    <ignoredError sqref="L3:M13 L2:M2" formulaRange="1"/>
    <ignoredError sqref="K2:K14 K15:K38" calculatedColumn="1"/>
  </ignoredErrors>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77DD9-7FC4-5C41-86FC-66C8A0A17AA0}">
  <sheetPr codeName="Sheet5"/>
  <dimension ref="A1:Z61"/>
  <sheetViews>
    <sheetView showGridLines="0" topLeftCell="D6" zoomScale="75" workbookViewId="0">
      <selection activeCell="H34" sqref="H34"/>
    </sheetView>
    <sheetView topLeftCell="E1" workbookViewId="1">
      <selection activeCell="I4" sqref="H1:L4"/>
    </sheetView>
  </sheetViews>
  <sheetFormatPr baseColWidth="10" defaultRowHeight="18" x14ac:dyDescent="0.25"/>
  <cols>
    <col min="1" max="1" width="24.42578125" bestFit="1" customWidth="1"/>
    <col min="2" max="2" width="16.7109375" style="14" bestFit="1" customWidth="1"/>
    <col min="3" max="4" width="9.7109375" style="14" bestFit="1" customWidth="1"/>
    <col min="5" max="5" width="12.140625" style="14" bestFit="1" customWidth="1"/>
    <col min="6" max="6" width="19.7109375" style="14" bestFit="1" customWidth="1"/>
    <col min="7" max="7" width="13.140625" bestFit="1" customWidth="1"/>
    <col min="8" max="8" width="14.42578125" style="14" bestFit="1" customWidth="1"/>
    <col min="9" max="9" width="13.42578125" style="14" bestFit="1" customWidth="1"/>
    <col min="10" max="10" width="19.7109375" style="14" bestFit="1" customWidth="1"/>
    <col min="11" max="11" width="20.42578125" style="33" bestFit="1" customWidth="1"/>
    <col min="12" max="12" width="33.7109375" style="35" bestFit="1" customWidth="1"/>
    <col min="13" max="13" width="20.140625" bestFit="1" customWidth="1"/>
    <col min="14" max="14" width="13.7109375" bestFit="1" customWidth="1"/>
    <col min="15" max="15" width="16.7109375" bestFit="1" customWidth="1"/>
    <col min="16" max="16" width="8.7109375" bestFit="1" customWidth="1"/>
    <col min="17" max="17" width="9.7109375" bestFit="1" customWidth="1"/>
    <col min="18" max="20" width="9.140625" bestFit="1" customWidth="1"/>
    <col min="21" max="21" width="9.7109375" bestFit="1" customWidth="1"/>
    <col min="22" max="22" width="12.140625" bestFit="1" customWidth="1"/>
    <col min="23" max="23" width="12.28515625" bestFit="1" customWidth="1"/>
    <col min="24" max="24" width="8.5703125" bestFit="1" customWidth="1"/>
    <col min="25" max="25" width="14.42578125" bestFit="1" customWidth="1"/>
    <col min="26" max="26" width="20.42578125" bestFit="1" customWidth="1"/>
    <col min="27" max="27" width="8.85546875" bestFit="1" customWidth="1"/>
    <col min="28" max="29" width="8.5703125" bestFit="1" customWidth="1"/>
    <col min="30" max="37" width="8.7109375" bestFit="1" customWidth="1"/>
    <col min="38" max="38" width="9.140625" bestFit="1" customWidth="1"/>
    <col min="39" max="39" width="8.7109375" bestFit="1" customWidth="1"/>
    <col min="40" max="40" width="8.85546875" bestFit="1" customWidth="1"/>
    <col min="41" max="41" width="8.7109375" bestFit="1" customWidth="1"/>
    <col min="42" max="42" width="9.140625" bestFit="1" customWidth="1"/>
    <col min="43" max="49" width="8.7109375" bestFit="1" customWidth="1"/>
    <col min="50" max="51" width="9.140625" bestFit="1" customWidth="1"/>
    <col min="52" max="52" width="9" bestFit="1" customWidth="1"/>
    <col min="53" max="54" width="8.85546875" bestFit="1" customWidth="1"/>
    <col min="55" max="55" width="9.5703125" bestFit="1" customWidth="1"/>
    <col min="56" max="56" width="9.7109375" bestFit="1" customWidth="1"/>
  </cols>
  <sheetData>
    <row r="1" spans="1:26" x14ac:dyDescent="0.25">
      <c r="A1" s="15" t="s">
        <v>10</v>
      </c>
      <c r="B1" s="18" t="s">
        <v>20</v>
      </c>
      <c r="C1" s="18" t="s">
        <v>14</v>
      </c>
      <c r="D1" s="18" t="s">
        <v>12</v>
      </c>
      <c r="E1" s="18" t="s">
        <v>18</v>
      </c>
      <c r="F1" s="18" t="s">
        <v>19</v>
      </c>
      <c r="H1" s="15" t="s">
        <v>10</v>
      </c>
      <c r="I1" s="16" t="s">
        <v>49</v>
      </c>
      <c r="J1" s="16" t="s">
        <v>19</v>
      </c>
      <c r="K1" s="18" t="s">
        <v>12</v>
      </c>
      <c r="L1" s="34" t="s">
        <v>25</v>
      </c>
      <c r="N1" s="16"/>
      <c r="O1" s="15" t="s">
        <v>26</v>
      </c>
      <c r="P1" s="16"/>
      <c r="Q1" s="16"/>
      <c r="Y1" s="29" t="s">
        <v>10</v>
      </c>
      <c r="Z1" t="s">
        <v>12</v>
      </c>
    </row>
    <row r="2" spans="1:26" x14ac:dyDescent="0.25">
      <c r="A2" s="17">
        <v>2024</v>
      </c>
      <c r="B2" s="18">
        <v>6180</v>
      </c>
      <c r="C2" s="18">
        <v>52263</v>
      </c>
      <c r="D2" s="18">
        <v>1591395</v>
      </c>
      <c r="E2" s="18">
        <v>1545312</v>
      </c>
      <c r="F2" s="18">
        <v>46082.865436</v>
      </c>
      <c r="H2" s="17">
        <v>2024</v>
      </c>
      <c r="I2" s="18">
        <v>80000</v>
      </c>
      <c r="J2" s="25">
        <v>46082.865436</v>
      </c>
      <c r="K2" s="18">
        <v>1591395</v>
      </c>
      <c r="L2" s="34">
        <v>22.290708360350582</v>
      </c>
      <c r="N2" s="16"/>
      <c r="O2" s="16">
        <v>2024</v>
      </c>
      <c r="P2" s="16" t="s">
        <v>51</v>
      </c>
      <c r="Q2" s="16" t="s">
        <v>11</v>
      </c>
      <c r="Y2" s="30">
        <v>2023</v>
      </c>
      <c r="Z2" s="13">
        <v>1549136</v>
      </c>
    </row>
    <row r="3" spans="1:26" x14ac:dyDescent="0.25">
      <c r="A3" s="19" t="s">
        <v>36</v>
      </c>
      <c r="B3" s="18">
        <v>6180</v>
      </c>
      <c r="C3" s="18">
        <v>52263</v>
      </c>
      <c r="D3" s="18">
        <v>1591395</v>
      </c>
      <c r="E3" s="18">
        <v>1545312</v>
      </c>
      <c r="F3" s="18">
        <v>46082.865436</v>
      </c>
      <c r="H3" s="19" t="s">
        <v>36</v>
      </c>
      <c r="I3" s="18">
        <v>80000</v>
      </c>
      <c r="J3" s="25">
        <v>46082.865436</v>
      </c>
      <c r="K3" s="18">
        <v>1591395</v>
      </c>
      <c r="L3" s="34">
        <v>22.290708360350582</v>
      </c>
      <c r="N3" s="15" t="s">
        <v>27</v>
      </c>
      <c r="O3" s="16" t="s">
        <v>36</v>
      </c>
      <c r="P3" s="16"/>
      <c r="Q3" s="16"/>
      <c r="Y3" s="30">
        <v>2024</v>
      </c>
      <c r="Z3" s="13">
        <v>19719203</v>
      </c>
    </row>
    <row r="4" spans="1:26" x14ac:dyDescent="0.25">
      <c r="A4" s="17" t="s">
        <v>11</v>
      </c>
      <c r="B4" s="18">
        <v>6180</v>
      </c>
      <c r="C4" s="18">
        <v>52263</v>
      </c>
      <c r="D4" s="18">
        <v>1591395</v>
      </c>
      <c r="E4" s="18">
        <v>1545312</v>
      </c>
      <c r="F4" s="18">
        <v>46082.865436</v>
      </c>
      <c r="H4" s="17" t="s">
        <v>11</v>
      </c>
      <c r="I4" s="18">
        <v>80000</v>
      </c>
      <c r="J4" s="25">
        <v>46082.865436</v>
      </c>
      <c r="K4" s="18">
        <v>1591395</v>
      </c>
      <c r="L4" s="32">
        <v>22.290708360350582</v>
      </c>
      <c r="N4" s="28" t="s">
        <v>29</v>
      </c>
      <c r="O4" s="18">
        <v>52263</v>
      </c>
      <c r="P4" s="18">
        <v>52263</v>
      </c>
      <c r="Q4" s="18">
        <v>52263</v>
      </c>
      <c r="Y4" s="30">
        <v>2025</v>
      </c>
      <c r="Z4" s="13">
        <v>47291919</v>
      </c>
    </row>
    <row r="5" spans="1:26" x14ac:dyDescent="0.25">
      <c r="B5"/>
      <c r="C5"/>
      <c r="D5"/>
      <c r="E5"/>
      <c r="F5"/>
      <c r="H5"/>
      <c r="I5"/>
      <c r="J5"/>
      <c r="N5" s="28" t="s">
        <v>28</v>
      </c>
      <c r="O5" s="18">
        <v>1545312</v>
      </c>
      <c r="P5" s="18">
        <v>1545312</v>
      </c>
      <c r="Q5" s="18">
        <v>1545312</v>
      </c>
      <c r="Y5" s="30">
        <v>2026</v>
      </c>
      <c r="Z5" s="13">
        <v>52855322</v>
      </c>
    </row>
    <row r="6" spans="1:26" x14ac:dyDescent="0.25">
      <c r="B6"/>
      <c r="C6"/>
      <c r="D6"/>
      <c r="E6"/>
      <c r="F6"/>
      <c r="H6"/>
      <c r="I6"/>
      <c r="J6"/>
      <c r="Y6" s="30" t="s">
        <v>11</v>
      </c>
      <c r="Z6" s="13">
        <v>121415580</v>
      </c>
    </row>
    <row r="7" spans="1:26" x14ac:dyDescent="0.25">
      <c r="B7"/>
      <c r="C7"/>
      <c r="D7"/>
      <c r="E7"/>
      <c r="F7"/>
      <c r="H7"/>
      <c r="I7"/>
      <c r="J7"/>
    </row>
    <row r="8" spans="1:26" x14ac:dyDescent="0.25">
      <c r="B8"/>
      <c r="C8"/>
      <c r="D8"/>
      <c r="E8"/>
      <c r="F8"/>
      <c r="H8"/>
      <c r="I8"/>
      <c r="J8"/>
    </row>
    <row r="9" spans="1:26" x14ac:dyDescent="0.25">
      <c r="B9"/>
      <c r="C9"/>
      <c r="D9"/>
      <c r="E9"/>
      <c r="F9"/>
      <c r="H9"/>
      <c r="I9"/>
      <c r="J9"/>
    </row>
    <row r="10" spans="1:26" x14ac:dyDescent="0.25">
      <c r="B10"/>
      <c r="C10"/>
      <c r="D10"/>
      <c r="E10"/>
      <c r="F10"/>
      <c r="H10"/>
      <c r="I10"/>
      <c r="J10"/>
    </row>
    <row r="11" spans="1:26" x14ac:dyDescent="0.25">
      <c r="A11" s="16"/>
      <c r="B11" s="15" t="s">
        <v>26</v>
      </c>
      <c r="C11" s="16"/>
      <c r="D11" s="16"/>
      <c r="E11"/>
      <c r="F11" s="29" t="s">
        <v>10</v>
      </c>
      <c r="G11" t="s">
        <v>33</v>
      </c>
      <c r="H11" t="s">
        <v>46</v>
      </c>
      <c r="I11" s="29" t="s">
        <v>10</v>
      </c>
      <c r="J11" t="s">
        <v>47</v>
      </c>
      <c r="K11"/>
      <c r="L11" s="29" t="s">
        <v>10</v>
      </c>
      <c r="M11" t="s">
        <v>50</v>
      </c>
    </row>
    <row r="12" spans="1:26" x14ac:dyDescent="0.25">
      <c r="A12" s="16"/>
      <c r="B12" s="16">
        <v>2024</v>
      </c>
      <c r="C12" s="16" t="s">
        <v>51</v>
      </c>
      <c r="D12" s="16" t="s">
        <v>11</v>
      </c>
      <c r="E12"/>
      <c r="F12" s="30">
        <v>2024</v>
      </c>
      <c r="G12" s="13">
        <v>195985</v>
      </c>
      <c r="H12"/>
      <c r="I12" s="30">
        <v>2023</v>
      </c>
      <c r="J12" s="14">
        <v>1545312</v>
      </c>
      <c r="K12"/>
      <c r="L12" s="30">
        <v>2023</v>
      </c>
      <c r="M12" s="13">
        <v>1549136</v>
      </c>
    </row>
    <row r="13" spans="1:26" x14ac:dyDescent="0.25">
      <c r="A13" s="15" t="s">
        <v>27</v>
      </c>
      <c r="B13" s="16" t="s">
        <v>36</v>
      </c>
      <c r="C13" s="16"/>
      <c r="D13" s="16"/>
      <c r="E13"/>
      <c r="F13" s="31" t="s">
        <v>30</v>
      </c>
      <c r="G13" s="13">
        <v>15491</v>
      </c>
      <c r="H13"/>
      <c r="I13" s="30">
        <v>2024</v>
      </c>
      <c r="J13" s="14">
        <v>0</v>
      </c>
      <c r="K13"/>
      <c r="L13" s="30">
        <v>2024</v>
      </c>
      <c r="M13" s="13">
        <v>1726581</v>
      </c>
    </row>
    <row r="14" spans="1:26" x14ac:dyDescent="0.25">
      <c r="A14" s="17" t="s">
        <v>31</v>
      </c>
      <c r="B14" s="25">
        <v>6180</v>
      </c>
      <c r="C14" s="25">
        <v>6180</v>
      </c>
      <c r="D14" s="25">
        <v>6180</v>
      </c>
      <c r="E14"/>
      <c r="F14" s="31" t="s">
        <v>35</v>
      </c>
      <c r="G14" s="13">
        <v>15631</v>
      </c>
      <c r="H14"/>
      <c r="I14" s="30">
        <v>2025</v>
      </c>
      <c r="J14" s="14">
        <v>2000000</v>
      </c>
      <c r="K14"/>
      <c r="L14" s="30">
        <v>2025</v>
      </c>
      <c r="M14" s="13">
        <v>4144198</v>
      </c>
    </row>
    <row r="15" spans="1:26" x14ac:dyDescent="0.25">
      <c r="A15" s="17" t="s">
        <v>32</v>
      </c>
      <c r="B15" s="25">
        <v>46082.865436</v>
      </c>
      <c r="C15" s="25">
        <v>46082.865436</v>
      </c>
      <c r="D15" s="25">
        <v>46082.865436</v>
      </c>
      <c r="E15"/>
      <c r="F15" s="31" t="s">
        <v>36</v>
      </c>
      <c r="G15" s="13">
        <v>15772</v>
      </c>
      <c r="H15"/>
      <c r="I15" s="30">
        <v>2026</v>
      </c>
      <c r="J15" s="14">
        <v>0</v>
      </c>
      <c r="K15"/>
      <c r="L15" s="30">
        <v>2026</v>
      </c>
      <c r="M15" s="13">
        <v>4634040</v>
      </c>
    </row>
    <row r="16" spans="1:26" x14ac:dyDescent="0.25">
      <c r="A16" s="28" t="s">
        <v>18</v>
      </c>
      <c r="B16" s="18">
        <v>1545312</v>
      </c>
      <c r="C16" s="18">
        <v>1545312</v>
      </c>
      <c r="D16" s="18">
        <v>1545312</v>
      </c>
      <c r="E16"/>
      <c r="F16" s="31" t="s">
        <v>37</v>
      </c>
      <c r="G16" s="13">
        <v>15914</v>
      </c>
      <c r="H16"/>
      <c r="I16" s="30" t="s">
        <v>11</v>
      </c>
      <c r="J16" s="14">
        <v>3545312</v>
      </c>
      <c r="K16"/>
      <c r="L16" s="30" t="s">
        <v>11</v>
      </c>
      <c r="M16" s="13">
        <v>4634040</v>
      </c>
    </row>
    <row r="17" spans="2:11" x14ac:dyDescent="0.25">
      <c r="B17"/>
      <c r="C17"/>
      <c r="D17"/>
      <c r="E17"/>
      <c r="F17" s="31" t="s">
        <v>38</v>
      </c>
      <c r="G17" s="13">
        <v>16058</v>
      </c>
      <c r="H17"/>
      <c r="I17"/>
      <c r="J17"/>
    </row>
    <row r="18" spans="2:11" x14ac:dyDescent="0.25">
      <c r="B18"/>
      <c r="C18"/>
      <c r="D18"/>
      <c r="E18"/>
      <c r="F18" s="31" t="s">
        <v>39</v>
      </c>
      <c r="G18" s="13">
        <v>16203</v>
      </c>
      <c r="H18"/>
      <c r="I18"/>
      <c r="J18"/>
    </row>
    <row r="19" spans="2:11" x14ac:dyDescent="0.25">
      <c r="B19"/>
      <c r="C19"/>
      <c r="D19"/>
      <c r="E19"/>
      <c r="F19" s="31" t="s">
        <v>40</v>
      </c>
      <c r="G19" s="13">
        <v>16349</v>
      </c>
      <c r="H19"/>
      <c r="I19"/>
      <c r="J19"/>
      <c r="K19"/>
    </row>
    <row r="20" spans="2:11" x14ac:dyDescent="0.25">
      <c r="B20"/>
      <c r="C20"/>
      <c r="D20"/>
      <c r="E20"/>
      <c r="F20" s="31" t="s">
        <v>41</v>
      </c>
      <c r="G20" s="13">
        <v>16497</v>
      </c>
      <c r="H20"/>
      <c r="I20" s="29" t="s">
        <v>10</v>
      </c>
      <c r="J20" t="s">
        <v>12</v>
      </c>
      <c r="K20"/>
    </row>
    <row r="21" spans="2:11" x14ac:dyDescent="0.25">
      <c r="B21"/>
      <c r="C21"/>
      <c r="D21"/>
      <c r="E21"/>
      <c r="F21" s="31" t="s">
        <v>42</v>
      </c>
      <c r="G21" s="13">
        <v>16647</v>
      </c>
      <c r="H21"/>
      <c r="I21" s="30">
        <v>2024</v>
      </c>
      <c r="J21" s="13">
        <v>19719203</v>
      </c>
      <c r="K21"/>
    </row>
    <row r="22" spans="2:11" x14ac:dyDescent="0.25">
      <c r="B22"/>
      <c r="C22"/>
      <c r="D22"/>
      <c r="E22"/>
      <c r="F22" s="31" t="s">
        <v>43</v>
      </c>
      <c r="G22" s="13">
        <v>16798</v>
      </c>
      <c r="H22"/>
      <c r="I22" s="31" t="s">
        <v>30</v>
      </c>
      <c r="J22" s="13">
        <v>1563082</v>
      </c>
      <c r="K22"/>
    </row>
    <row r="23" spans="2:11" x14ac:dyDescent="0.25">
      <c r="B23"/>
      <c r="C23"/>
      <c r="D23"/>
      <c r="E23"/>
      <c r="F23" s="31" t="s">
        <v>44</v>
      </c>
      <c r="G23" s="13">
        <v>17233</v>
      </c>
      <c r="H23"/>
      <c r="I23" s="31" t="s">
        <v>35</v>
      </c>
      <c r="J23" s="13">
        <v>1577168</v>
      </c>
      <c r="K23"/>
    </row>
    <row r="24" spans="2:11" x14ac:dyDescent="0.25">
      <c r="B24"/>
      <c r="C24"/>
      <c r="D24"/>
      <c r="E24"/>
      <c r="F24" s="31" t="s">
        <v>34</v>
      </c>
      <c r="G24" s="13">
        <v>17392</v>
      </c>
      <c r="H24"/>
      <c r="I24" s="31" t="s">
        <v>36</v>
      </c>
      <c r="J24" s="13">
        <v>1591395</v>
      </c>
      <c r="K24"/>
    </row>
    <row r="25" spans="2:11" x14ac:dyDescent="0.25">
      <c r="B25"/>
      <c r="C25"/>
      <c r="D25"/>
      <c r="E25"/>
      <c r="F25" s="30" t="s">
        <v>11</v>
      </c>
      <c r="G25" s="13">
        <v>195985</v>
      </c>
      <c r="H25"/>
      <c r="I25" s="31" t="s">
        <v>37</v>
      </c>
      <c r="J25" s="13">
        <v>1605764</v>
      </c>
      <c r="K25"/>
    </row>
    <row r="26" spans="2:11" x14ac:dyDescent="0.25">
      <c r="B26"/>
      <c r="C26"/>
      <c r="D26"/>
      <c r="E26"/>
      <c r="F26"/>
      <c r="H26"/>
      <c r="I26" s="31" t="s">
        <v>38</v>
      </c>
      <c r="J26" s="13">
        <v>1620276</v>
      </c>
      <c r="K26"/>
    </row>
    <row r="27" spans="2:11" x14ac:dyDescent="0.25">
      <c r="B27"/>
      <c r="C27"/>
      <c r="D27"/>
      <c r="E27"/>
      <c r="F27"/>
      <c r="H27"/>
      <c r="I27" s="31" t="s">
        <v>39</v>
      </c>
      <c r="J27" s="13">
        <v>1634934</v>
      </c>
      <c r="K27"/>
    </row>
    <row r="28" spans="2:11" x14ac:dyDescent="0.25">
      <c r="B28"/>
      <c r="C28"/>
      <c r="D28"/>
      <c r="E28"/>
      <c r="F28"/>
      <c r="H28"/>
      <c r="I28" s="31" t="s">
        <v>40</v>
      </c>
      <c r="J28" s="13">
        <v>1649739</v>
      </c>
      <c r="K28"/>
    </row>
    <row r="29" spans="2:11" x14ac:dyDescent="0.25">
      <c r="B29"/>
      <c r="C29"/>
      <c r="D29"/>
      <c r="E29"/>
      <c r="F29"/>
      <c r="H29"/>
      <c r="I29" s="31" t="s">
        <v>41</v>
      </c>
      <c r="J29" s="13">
        <v>1664691</v>
      </c>
      <c r="K29"/>
    </row>
    <row r="30" spans="2:11" x14ac:dyDescent="0.25">
      <c r="B30"/>
      <c r="C30"/>
      <c r="D30"/>
      <c r="E30"/>
      <c r="F30"/>
      <c r="H30"/>
      <c r="I30" s="31" t="s">
        <v>42</v>
      </c>
      <c r="J30" s="13">
        <v>1679793</v>
      </c>
      <c r="K30"/>
    </row>
    <row r="31" spans="2:11" x14ac:dyDescent="0.25">
      <c r="B31"/>
      <c r="C31"/>
      <c r="D31"/>
      <c r="E31"/>
      <c r="F31"/>
      <c r="H31"/>
      <c r="I31" s="31" t="s">
        <v>43</v>
      </c>
      <c r="J31" s="13">
        <v>1695046</v>
      </c>
      <c r="K31"/>
    </row>
    <row r="32" spans="2:11" x14ac:dyDescent="0.25">
      <c r="B32"/>
      <c r="C32"/>
      <c r="D32"/>
      <c r="E32"/>
      <c r="F32"/>
      <c r="H32"/>
      <c r="I32" s="31" t="s">
        <v>44</v>
      </c>
      <c r="J32" s="13">
        <v>1710734</v>
      </c>
      <c r="K32"/>
    </row>
    <row r="33" spans="9:12" customFormat="1" x14ac:dyDescent="0.25">
      <c r="I33" s="31" t="s">
        <v>34</v>
      </c>
      <c r="J33" s="13">
        <v>1726581</v>
      </c>
      <c r="L33" s="35"/>
    </row>
    <row r="34" spans="9:12" customFormat="1" x14ac:dyDescent="0.25">
      <c r="I34" s="30" t="s">
        <v>11</v>
      </c>
      <c r="J34" s="13">
        <v>19719203</v>
      </c>
      <c r="K34" s="33"/>
      <c r="L34" s="35"/>
    </row>
    <row r="35" spans="9:12" customFormat="1" x14ac:dyDescent="0.25">
      <c r="K35" s="33"/>
      <c r="L35" s="35"/>
    </row>
    <row r="36" spans="9:12" customFormat="1" x14ac:dyDescent="0.25">
      <c r="K36" s="33"/>
      <c r="L36" s="35"/>
    </row>
    <row r="37" spans="9:12" customFormat="1" x14ac:dyDescent="0.25">
      <c r="K37" s="33"/>
      <c r="L37" s="35"/>
    </row>
    <row r="38" spans="9:12" customFormat="1" x14ac:dyDescent="0.25">
      <c r="K38" s="33"/>
      <c r="L38" s="35"/>
    </row>
    <row r="39" spans="9:12" customFormat="1" x14ac:dyDescent="0.25">
      <c r="K39" s="33"/>
      <c r="L39" s="35"/>
    </row>
    <row r="40" spans="9:12" customFormat="1" x14ac:dyDescent="0.25">
      <c r="K40" s="33"/>
      <c r="L40" s="35"/>
    </row>
    <row r="41" spans="9:12" customFormat="1" x14ac:dyDescent="0.25">
      <c r="K41" s="33"/>
      <c r="L41" s="35"/>
    </row>
    <row r="42" spans="9:12" customFormat="1" x14ac:dyDescent="0.25">
      <c r="K42" s="33"/>
      <c r="L42" s="35"/>
    </row>
    <row r="43" spans="9:12" customFormat="1" x14ac:dyDescent="0.25">
      <c r="K43" s="33"/>
      <c r="L43" s="35"/>
    </row>
    <row r="44" spans="9:12" customFormat="1" x14ac:dyDescent="0.25">
      <c r="K44" s="33"/>
      <c r="L44" s="35"/>
    </row>
    <row r="45" spans="9:12" customFormat="1" x14ac:dyDescent="0.25">
      <c r="K45" s="33"/>
      <c r="L45" s="35"/>
    </row>
    <row r="46" spans="9:12" customFormat="1" x14ac:dyDescent="0.25">
      <c r="K46" s="33"/>
      <c r="L46" s="35"/>
    </row>
    <row r="47" spans="9:12" customFormat="1" x14ac:dyDescent="0.25">
      <c r="K47" s="33"/>
      <c r="L47" s="35"/>
    </row>
    <row r="48" spans="9:12" customFormat="1" x14ac:dyDescent="0.25">
      <c r="K48" s="33"/>
      <c r="L48" s="35"/>
    </row>
    <row r="49" spans="2:10" x14ac:dyDescent="0.25">
      <c r="B49"/>
      <c r="C49"/>
      <c r="D49"/>
      <c r="E49"/>
      <c r="F49"/>
      <c r="H49"/>
      <c r="I49"/>
      <c r="J49"/>
    </row>
    <row r="50" spans="2:10" x14ac:dyDescent="0.25">
      <c r="F50"/>
      <c r="H50"/>
      <c r="I50"/>
      <c r="J50"/>
    </row>
    <row r="51" spans="2:10" x14ac:dyDescent="0.25">
      <c r="F51"/>
      <c r="H51"/>
      <c r="I51"/>
      <c r="J51"/>
    </row>
    <row r="52" spans="2:10" x14ac:dyDescent="0.25">
      <c r="F52"/>
      <c r="I52"/>
    </row>
    <row r="53" spans="2:10" x14ac:dyDescent="0.25">
      <c r="F53"/>
      <c r="I53"/>
    </row>
    <row r="54" spans="2:10" x14ac:dyDescent="0.25">
      <c r="F54"/>
    </row>
    <row r="55" spans="2:10" x14ac:dyDescent="0.25">
      <c r="F55"/>
    </row>
    <row r="56" spans="2:10" x14ac:dyDescent="0.25">
      <c r="F56"/>
    </row>
    <row r="57" spans="2:10" x14ac:dyDescent="0.25">
      <c r="F57"/>
    </row>
    <row r="58" spans="2:10" x14ac:dyDescent="0.25">
      <c r="F58"/>
    </row>
    <row r="59" spans="2:10" x14ac:dyDescent="0.25">
      <c r="F59"/>
    </row>
    <row r="60" spans="2:10" x14ac:dyDescent="0.25">
      <c r="F60"/>
    </row>
    <row r="61" spans="2:10" x14ac:dyDescent="0.25">
      <c r="F6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B4E7A-2491-A047-8FBA-A4F7DAA63FB6}">
  <sheetPr codeName="Sheet4"/>
  <dimension ref="A48"/>
  <sheetViews>
    <sheetView showGridLines="0" tabSelected="1" zoomScale="68" zoomScaleNormal="400" workbookViewId="0">
      <selection activeCell="U17" sqref="U17"/>
    </sheetView>
    <sheetView topLeftCell="B2" zoomScale="75" workbookViewId="1"/>
  </sheetViews>
  <sheetFormatPr baseColWidth="10" defaultRowHeight="18" x14ac:dyDescent="0.25"/>
  <cols>
    <col min="19" max="19" width="12.28515625" customWidth="1"/>
    <col min="20" max="20" width="1.5703125" customWidth="1"/>
  </cols>
  <sheetData>
    <row r="48" ht="12" customHeight="1" x14ac:dyDescent="0.25"/>
  </sheetData>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027" r:id="rId3" name="Scroll Bar 3">
              <controlPr defaultSize="0" autoPict="0" macro="[0]!ScrollBar3_Change">
                <anchor moveWithCells="1">
                  <from>
                    <xdr:col>3</xdr:col>
                    <xdr:colOff>139700</xdr:colOff>
                    <xdr:row>22</xdr:row>
                    <xdr:rowOff>50800</xdr:rowOff>
                  </from>
                  <to>
                    <xdr:col>5</xdr:col>
                    <xdr:colOff>787400</xdr:colOff>
                    <xdr:row>23</xdr:row>
                    <xdr:rowOff>203200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15Lakhs_Loan</vt:lpstr>
      <vt:lpstr>20Lakhs_Loan</vt:lpstr>
      <vt:lpstr>Combine_35Lakhs</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Deekshith Gadi</dc:creator>
  <cp:lastModifiedBy>Deekshith Gadi</cp:lastModifiedBy>
  <dcterms:created xsi:type="dcterms:W3CDTF">2025-04-27T15:37:59Z</dcterms:created>
  <dcterms:modified xsi:type="dcterms:W3CDTF">2025-05-07T16:30:55Z</dcterms:modified>
</cp:coreProperties>
</file>